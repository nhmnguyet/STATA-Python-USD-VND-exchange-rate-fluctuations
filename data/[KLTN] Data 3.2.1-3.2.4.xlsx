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EL\kỳ 10\KLTN\Final-gui mail\"/>
    </mc:Choice>
  </mc:AlternateContent>
  <xr:revisionPtr revIDLastSave="0" documentId="13_ncr:1_{0ED045C4-F007-42F9-B908-0AAC9BF194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3.2.1-3.2.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6" i="1" l="1"/>
  <c r="D536" i="1"/>
  <c r="C536" i="1"/>
  <c r="K535" i="1"/>
  <c r="D535" i="1"/>
  <c r="C535" i="1"/>
  <c r="K534" i="1"/>
  <c r="D534" i="1"/>
  <c r="C534" i="1"/>
  <c r="K533" i="1"/>
  <c r="D533" i="1"/>
  <c r="C533" i="1"/>
  <c r="K532" i="1"/>
  <c r="D532" i="1"/>
  <c r="C532" i="1"/>
  <c r="K531" i="1"/>
  <c r="D531" i="1"/>
  <c r="C531" i="1"/>
  <c r="K530" i="1"/>
  <c r="D530" i="1"/>
  <c r="C530" i="1"/>
  <c r="K529" i="1"/>
  <c r="D529" i="1"/>
  <c r="C529" i="1"/>
  <c r="K528" i="1"/>
  <c r="D528" i="1"/>
  <c r="C528" i="1"/>
  <c r="K527" i="1"/>
  <c r="D527" i="1"/>
  <c r="C527" i="1"/>
  <c r="K526" i="1"/>
  <c r="D526" i="1"/>
  <c r="C526" i="1"/>
  <c r="K525" i="1"/>
  <c r="D525" i="1"/>
  <c r="C525" i="1"/>
  <c r="K524" i="1"/>
  <c r="D524" i="1"/>
  <c r="C524" i="1"/>
  <c r="K523" i="1"/>
  <c r="D523" i="1"/>
  <c r="C523" i="1"/>
  <c r="K522" i="1"/>
  <c r="D522" i="1"/>
  <c r="C522" i="1"/>
  <c r="K521" i="1"/>
  <c r="D521" i="1"/>
  <c r="C521" i="1"/>
  <c r="K520" i="1"/>
  <c r="D520" i="1"/>
  <c r="C520" i="1"/>
  <c r="K519" i="1"/>
  <c r="D519" i="1"/>
  <c r="C519" i="1"/>
  <c r="K518" i="1"/>
  <c r="D518" i="1"/>
  <c r="C518" i="1"/>
  <c r="K517" i="1"/>
  <c r="D517" i="1"/>
  <c r="C517" i="1"/>
  <c r="K516" i="1"/>
  <c r="D516" i="1"/>
  <c r="C516" i="1"/>
  <c r="K515" i="1"/>
  <c r="D515" i="1"/>
  <c r="C515" i="1"/>
  <c r="K514" i="1"/>
  <c r="D514" i="1"/>
  <c r="C514" i="1"/>
  <c r="K513" i="1"/>
  <c r="D513" i="1"/>
  <c r="C513" i="1"/>
  <c r="K512" i="1"/>
  <c r="D512" i="1"/>
  <c r="C512" i="1"/>
  <c r="K511" i="1"/>
  <c r="D511" i="1"/>
  <c r="C511" i="1"/>
  <c r="K510" i="1"/>
  <c r="D510" i="1"/>
  <c r="C510" i="1"/>
  <c r="K509" i="1"/>
  <c r="D509" i="1"/>
  <c r="C509" i="1"/>
  <c r="K508" i="1"/>
  <c r="D508" i="1"/>
  <c r="C508" i="1"/>
  <c r="K507" i="1"/>
  <c r="D507" i="1"/>
  <c r="C507" i="1"/>
  <c r="K506" i="1"/>
  <c r="D506" i="1"/>
  <c r="C506" i="1"/>
  <c r="K505" i="1"/>
  <c r="D505" i="1"/>
  <c r="C505" i="1"/>
  <c r="K504" i="1"/>
  <c r="D504" i="1"/>
  <c r="C504" i="1"/>
  <c r="K503" i="1"/>
  <c r="D503" i="1"/>
  <c r="C503" i="1"/>
  <c r="K502" i="1"/>
  <c r="D502" i="1"/>
  <c r="C502" i="1"/>
  <c r="K501" i="1"/>
  <c r="D501" i="1"/>
  <c r="C501" i="1"/>
  <c r="K500" i="1"/>
  <c r="D500" i="1"/>
  <c r="C500" i="1"/>
  <c r="K499" i="1"/>
  <c r="D499" i="1"/>
  <c r="C499" i="1"/>
  <c r="K498" i="1"/>
  <c r="D498" i="1"/>
  <c r="C498" i="1"/>
  <c r="K497" i="1"/>
  <c r="D497" i="1"/>
  <c r="C497" i="1"/>
  <c r="K496" i="1"/>
  <c r="D496" i="1"/>
  <c r="C496" i="1"/>
  <c r="K495" i="1"/>
  <c r="D495" i="1"/>
  <c r="C495" i="1"/>
  <c r="K494" i="1"/>
  <c r="D494" i="1"/>
  <c r="C494" i="1"/>
  <c r="K493" i="1"/>
  <c r="D493" i="1"/>
  <c r="C493" i="1"/>
  <c r="K492" i="1"/>
  <c r="D492" i="1"/>
  <c r="C492" i="1"/>
  <c r="K491" i="1"/>
  <c r="D491" i="1"/>
  <c r="C491" i="1"/>
  <c r="K490" i="1"/>
  <c r="D490" i="1"/>
  <c r="C490" i="1"/>
  <c r="K489" i="1"/>
  <c r="D489" i="1"/>
  <c r="C489" i="1"/>
  <c r="K488" i="1"/>
  <c r="D488" i="1"/>
  <c r="C488" i="1"/>
  <c r="K487" i="1"/>
  <c r="D487" i="1"/>
  <c r="C487" i="1"/>
  <c r="K486" i="1"/>
  <c r="D486" i="1"/>
  <c r="C486" i="1"/>
  <c r="K485" i="1"/>
  <c r="D485" i="1"/>
  <c r="C485" i="1"/>
  <c r="K484" i="1"/>
  <c r="D484" i="1"/>
  <c r="C484" i="1"/>
  <c r="K483" i="1"/>
  <c r="D483" i="1"/>
  <c r="C483" i="1"/>
  <c r="K482" i="1"/>
  <c r="D482" i="1"/>
  <c r="C482" i="1"/>
  <c r="K481" i="1"/>
  <c r="D481" i="1"/>
  <c r="C481" i="1"/>
  <c r="K480" i="1"/>
  <c r="D480" i="1"/>
  <c r="C480" i="1"/>
  <c r="K479" i="1"/>
  <c r="D479" i="1"/>
  <c r="C479" i="1"/>
  <c r="K478" i="1"/>
  <c r="D478" i="1"/>
  <c r="C478" i="1"/>
  <c r="K477" i="1"/>
  <c r="D477" i="1"/>
  <c r="C477" i="1"/>
  <c r="K476" i="1"/>
  <c r="D476" i="1"/>
  <c r="C476" i="1"/>
  <c r="K475" i="1"/>
  <c r="D475" i="1"/>
  <c r="C475" i="1"/>
  <c r="K474" i="1"/>
  <c r="D474" i="1"/>
  <c r="C474" i="1"/>
  <c r="K473" i="1"/>
  <c r="D473" i="1"/>
  <c r="C473" i="1"/>
  <c r="K472" i="1"/>
  <c r="D472" i="1"/>
  <c r="C472" i="1"/>
  <c r="K471" i="1"/>
  <c r="D471" i="1"/>
  <c r="C471" i="1"/>
  <c r="K470" i="1"/>
  <c r="D470" i="1"/>
  <c r="C470" i="1"/>
  <c r="K469" i="1"/>
  <c r="D469" i="1"/>
  <c r="C469" i="1"/>
  <c r="K468" i="1"/>
  <c r="D468" i="1"/>
  <c r="C468" i="1"/>
  <c r="K467" i="1"/>
  <c r="D467" i="1"/>
  <c r="C467" i="1"/>
  <c r="K466" i="1"/>
  <c r="D466" i="1"/>
  <c r="C466" i="1"/>
  <c r="K465" i="1"/>
  <c r="D465" i="1"/>
  <c r="C465" i="1"/>
  <c r="K464" i="1"/>
  <c r="D464" i="1"/>
  <c r="C464" i="1"/>
  <c r="K463" i="1"/>
  <c r="D463" i="1"/>
  <c r="C463" i="1"/>
  <c r="K462" i="1"/>
  <c r="D462" i="1"/>
  <c r="C462" i="1"/>
  <c r="K461" i="1"/>
  <c r="D461" i="1"/>
  <c r="C461" i="1"/>
  <c r="K460" i="1"/>
  <c r="D460" i="1"/>
  <c r="C460" i="1"/>
  <c r="K459" i="1"/>
  <c r="D459" i="1"/>
  <c r="C459" i="1"/>
  <c r="K458" i="1"/>
  <c r="D458" i="1"/>
  <c r="C458" i="1"/>
  <c r="K457" i="1"/>
  <c r="D457" i="1"/>
  <c r="C457" i="1"/>
  <c r="K456" i="1"/>
  <c r="D456" i="1"/>
  <c r="C456" i="1"/>
  <c r="K455" i="1"/>
  <c r="D455" i="1"/>
  <c r="C455" i="1"/>
  <c r="K454" i="1"/>
  <c r="D454" i="1"/>
  <c r="C454" i="1"/>
  <c r="K453" i="1"/>
  <c r="D453" i="1"/>
  <c r="C453" i="1"/>
  <c r="K452" i="1"/>
  <c r="D452" i="1"/>
  <c r="C452" i="1"/>
  <c r="K451" i="1"/>
  <c r="D451" i="1"/>
  <c r="C451" i="1"/>
  <c r="K450" i="1"/>
  <c r="D450" i="1"/>
  <c r="C450" i="1"/>
  <c r="K449" i="1"/>
  <c r="D449" i="1"/>
  <c r="C449" i="1"/>
  <c r="K448" i="1"/>
  <c r="D448" i="1"/>
  <c r="C448" i="1"/>
  <c r="K447" i="1"/>
  <c r="D447" i="1"/>
  <c r="C447" i="1"/>
  <c r="K446" i="1"/>
  <c r="D446" i="1"/>
  <c r="C446" i="1"/>
  <c r="K445" i="1"/>
  <c r="D445" i="1"/>
  <c r="C445" i="1"/>
  <c r="K444" i="1"/>
  <c r="D444" i="1"/>
  <c r="C444" i="1"/>
  <c r="K443" i="1"/>
  <c r="D443" i="1"/>
  <c r="C443" i="1"/>
  <c r="K442" i="1"/>
  <c r="D442" i="1"/>
  <c r="C442" i="1"/>
  <c r="K441" i="1"/>
  <c r="D441" i="1"/>
  <c r="C441" i="1"/>
  <c r="K440" i="1"/>
  <c r="D440" i="1"/>
  <c r="C440" i="1"/>
  <c r="K439" i="1"/>
  <c r="D439" i="1"/>
  <c r="C439" i="1"/>
  <c r="K438" i="1"/>
  <c r="D438" i="1"/>
  <c r="C438" i="1"/>
  <c r="K437" i="1"/>
  <c r="D437" i="1"/>
  <c r="C437" i="1"/>
  <c r="K436" i="1"/>
  <c r="D436" i="1"/>
  <c r="C436" i="1"/>
  <c r="K435" i="1"/>
  <c r="D435" i="1"/>
  <c r="C435" i="1"/>
  <c r="K434" i="1"/>
  <c r="D434" i="1"/>
  <c r="C434" i="1"/>
  <c r="K433" i="1"/>
  <c r="D433" i="1"/>
  <c r="C433" i="1"/>
  <c r="K432" i="1"/>
  <c r="D432" i="1"/>
  <c r="C432" i="1"/>
  <c r="K431" i="1"/>
  <c r="D431" i="1"/>
  <c r="C431" i="1"/>
  <c r="K430" i="1"/>
  <c r="D430" i="1"/>
  <c r="C430" i="1"/>
  <c r="K429" i="1"/>
  <c r="D429" i="1"/>
  <c r="C429" i="1"/>
  <c r="K428" i="1"/>
  <c r="D428" i="1"/>
  <c r="C428" i="1"/>
  <c r="K427" i="1"/>
  <c r="D427" i="1"/>
  <c r="C427" i="1"/>
  <c r="K426" i="1"/>
  <c r="D426" i="1"/>
  <c r="C426" i="1"/>
  <c r="K425" i="1"/>
  <c r="D425" i="1"/>
  <c r="C425" i="1"/>
  <c r="K424" i="1"/>
  <c r="D424" i="1"/>
  <c r="C424" i="1"/>
  <c r="K423" i="1"/>
  <c r="D423" i="1"/>
  <c r="C423" i="1"/>
  <c r="K422" i="1"/>
  <c r="D422" i="1"/>
  <c r="C422" i="1"/>
  <c r="K421" i="1"/>
  <c r="D421" i="1"/>
  <c r="C421" i="1"/>
  <c r="K420" i="1"/>
  <c r="D420" i="1"/>
  <c r="C420" i="1"/>
  <c r="K419" i="1"/>
  <c r="D419" i="1"/>
  <c r="C419" i="1"/>
  <c r="K418" i="1"/>
  <c r="D418" i="1"/>
  <c r="C418" i="1"/>
  <c r="K417" i="1"/>
  <c r="D417" i="1"/>
  <c r="C417" i="1"/>
  <c r="K416" i="1"/>
  <c r="D416" i="1"/>
  <c r="C416" i="1"/>
  <c r="K415" i="1"/>
  <c r="D415" i="1"/>
  <c r="C415" i="1"/>
  <c r="K414" i="1"/>
  <c r="D414" i="1"/>
  <c r="C414" i="1"/>
  <c r="K413" i="1"/>
  <c r="D413" i="1"/>
  <c r="C413" i="1"/>
  <c r="K412" i="1"/>
  <c r="D412" i="1"/>
  <c r="C412" i="1"/>
  <c r="K411" i="1"/>
  <c r="D411" i="1"/>
  <c r="C411" i="1"/>
  <c r="K410" i="1"/>
  <c r="D410" i="1"/>
  <c r="C410" i="1"/>
  <c r="K409" i="1"/>
  <c r="D409" i="1"/>
  <c r="C409" i="1"/>
  <c r="K408" i="1"/>
  <c r="D408" i="1"/>
  <c r="C408" i="1"/>
  <c r="K407" i="1"/>
  <c r="D407" i="1"/>
  <c r="C407" i="1"/>
  <c r="K406" i="1"/>
  <c r="D406" i="1"/>
  <c r="C406" i="1"/>
  <c r="K405" i="1"/>
  <c r="D405" i="1"/>
  <c r="C405" i="1"/>
  <c r="K404" i="1"/>
  <c r="D404" i="1"/>
  <c r="C404" i="1"/>
  <c r="K403" i="1"/>
  <c r="D403" i="1"/>
  <c r="C403" i="1"/>
  <c r="K402" i="1"/>
  <c r="D402" i="1"/>
  <c r="C402" i="1"/>
  <c r="K401" i="1"/>
  <c r="D401" i="1"/>
  <c r="C401" i="1"/>
  <c r="K400" i="1"/>
  <c r="D400" i="1"/>
  <c r="C400" i="1"/>
  <c r="K399" i="1"/>
  <c r="D399" i="1"/>
  <c r="C399" i="1"/>
  <c r="K398" i="1"/>
  <c r="D398" i="1"/>
  <c r="C398" i="1"/>
  <c r="K397" i="1"/>
  <c r="D397" i="1"/>
  <c r="C397" i="1"/>
  <c r="K396" i="1"/>
  <c r="D396" i="1"/>
  <c r="C396" i="1"/>
  <c r="K395" i="1"/>
  <c r="D395" i="1"/>
  <c r="C395" i="1"/>
  <c r="K394" i="1"/>
  <c r="D394" i="1"/>
  <c r="C394" i="1"/>
  <c r="K393" i="1"/>
  <c r="D393" i="1"/>
  <c r="C393" i="1"/>
  <c r="K392" i="1"/>
  <c r="D392" i="1"/>
  <c r="C392" i="1"/>
  <c r="K391" i="1"/>
  <c r="D391" i="1"/>
  <c r="C391" i="1"/>
  <c r="K390" i="1"/>
  <c r="D390" i="1"/>
  <c r="C390" i="1"/>
  <c r="K389" i="1"/>
  <c r="D389" i="1"/>
  <c r="C389" i="1"/>
  <c r="K388" i="1"/>
  <c r="D388" i="1"/>
  <c r="C388" i="1"/>
  <c r="K387" i="1"/>
  <c r="D387" i="1"/>
  <c r="C387" i="1"/>
  <c r="K386" i="1"/>
  <c r="D386" i="1"/>
  <c r="C386" i="1"/>
  <c r="K385" i="1"/>
  <c r="D385" i="1"/>
  <c r="C385" i="1"/>
  <c r="K384" i="1"/>
  <c r="D384" i="1"/>
  <c r="C384" i="1"/>
  <c r="K383" i="1"/>
  <c r="D383" i="1"/>
  <c r="C383" i="1"/>
  <c r="K382" i="1"/>
  <c r="D382" i="1"/>
  <c r="C382" i="1"/>
  <c r="K381" i="1"/>
  <c r="D381" i="1"/>
  <c r="C381" i="1"/>
  <c r="K380" i="1"/>
  <c r="D380" i="1"/>
  <c r="C380" i="1"/>
  <c r="K379" i="1"/>
  <c r="D379" i="1"/>
  <c r="C379" i="1"/>
  <c r="K378" i="1"/>
  <c r="D378" i="1"/>
  <c r="C378" i="1"/>
  <c r="K377" i="1"/>
  <c r="D377" i="1"/>
  <c r="C377" i="1"/>
  <c r="K376" i="1"/>
  <c r="D376" i="1"/>
  <c r="C376" i="1"/>
  <c r="K375" i="1"/>
  <c r="D375" i="1"/>
  <c r="C375" i="1"/>
  <c r="K374" i="1"/>
  <c r="D374" i="1"/>
  <c r="C374" i="1"/>
  <c r="K373" i="1"/>
  <c r="D373" i="1"/>
  <c r="C373" i="1"/>
  <c r="K372" i="1"/>
  <c r="D372" i="1"/>
  <c r="C372" i="1"/>
  <c r="K371" i="1"/>
  <c r="D371" i="1"/>
  <c r="C371" i="1"/>
  <c r="K370" i="1"/>
  <c r="D370" i="1"/>
  <c r="C370" i="1"/>
  <c r="K369" i="1"/>
  <c r="D369" i="1"/>
  <c r="C369" i="1"/>
  <c r="K368" i="1"/>
  <c r="D368" i="1"/>
  <c r="C368" i="1"/>
  <c r="K367" i="1"/>
  <c r="D367" i="1"/>
  <c r="C367" i="1"/>
  <c r="K366" i="1"/>
  <c r="D366" i="1"/>
  <c r="C366" i="1"/>
  <c r="K365" i="1"/>
  <c r="D365" i="1"/>
  <c r="C365" i="1"/>
  <c r="K364" i="1"/>
  <c r="D364" i="1"/>
  <c r="C364" i="1"/>
  <c r="K363" i="1"/>
  <c r="D363" i="1"/>
  <c r="C363" i="1"/>
  <c r="K362" i="1"/>
  <c r="D362" i="1"/>
  <c r="C362" i="1"/>
  <c r="K361" i="1"/>
  <c r="D361" i="1"/>
  <c r="C361" i="1"/>
  <c r="K360" i="1"/>
  <c r="D360" i="1"/>
  <c r="C360" i="1"/>
  <c r="K359" i="1"/>
  <c r="D359" i="1"/>
  <c r="C359" i="1"/>
  <c r="K358" i="1"/>
  <c r="D358" i="1"/>
  <c r="C358" i="1"/>
  <c r="K357" i="1"/>
  <c r="D357" i="1"/>
  <c r="C357" i="1"/>
  <c r="K356" i="1"/>
  <c r="D356" i="1"/>
  <c r="C356" i="1"/>
  <c r="K355" i="1"/>
  <c r="D355" i="1"/>
  <c r="C355" i="1"/>
  <c r="K354" i="1"/>
  <c r="D354" i="1"/>
  <c r="C354" i="1"/>
  <c r="K353" i="1"/>
  <c r="D353" i="1"/>
  <c r="C353" i="1"/>
  <c r="K352" i="1"/>
  <c r="D352" i="1"/>
  <c r="C352" i="1"/>
  <c r="K351" i="1"/>
  <c r="D351" i="1"/>
  <c r="C351" i="1"/>
  <c r="K350" i="1"/>
  <c r="D350" i="1"/>
  <c r="C350" i="1"/>
  <c r="K349" i="1"/>
  <c r="D349" i="1"/>
  <c r="C349" i="1"/>
  <c r="K348" i="1"/>
  <c r="D348" i="1"/>
  <c r="C348" i="1"/>
  <c r="K347" i="1"/>
  <c r="D347" i="1"/>
  <c r="C347" i="1"/>
  <c r="K346" i="1"/>
  <c r="D346" i="1"/>
  <c r="C346" i="1"/>
  <c r="K345" i="1"/>
  <c r="D345" i="1"/>
  <c r="C345" i="1"/>
  <c r="K344" i="1"/>
  <c r="D344" i="1"/>
  <c r="C344" i="1"/>
  <c r="K343" i="1"/>
  <c r="D343" i="1"/>
  <c r="C343" i="1"/>
  <c r="K342" i="1"/>
  <c r="D342" i="1"/>
  <c r="C342" i="1"/>
  <c r="K341" i="1"/>
  <c r="D341" i="1"/>
  <c r="C341" i="1"/>
  <c r="K340" i="1"/>
  <c r="D340" i="1"/>
  <c r="C340" i="1"/>
  <c r="K339" i="1"/>
  <c r="D339" i="1"/>
  <c r="C339" i="1"/>
  <c r="K338" i="1"/>
  <c r="D338" i="1"/>
  <c r="C338" i="1"/>
  <c r="K337" i="1"/>
  <c r="D337" i="1"/>
  <c r="C337" i="1"/>
  <c r="K336" i="1"/>
  <c r="D336" i="1"/>
  <c r="C336" i="1"/>
  <c r="K335" i="1"/>
  <c r="D335" i="1"/>
  <c r="C335" i="1"/>
  <c r="K334" i="1"/>
  <c r="D334" i="1"/>
  <c r="C334" i="1"/>
  <c r="K333" i="1"/>
  <c r="D333" i="1"/>
  <c r="C333" i="1"/>
  <c r="K332" i="1"/>
  <c r="D332" i="1"/>
  <c r="C332" i="1"/>
  <c r="K331" i="1"/>
  <c r="D331" i="1"/>
  <c r="C331" i="1"/>
  <c r="K330" i="1"/>
  <c r="D330" i="1"/>
  <c r="C330" i="1"/>
  <c r="K329" i="1"/>
  <c r="D329" i="1"/>
  <c r="C329" i="1"/>
  <c r="K328" i="1"/>
  <c r="D328" i="1"/>
  <c r="C328" i="1"/>
  <c r="K327" i="1"/>
  <c r="D327" i="1"/>
  <c r="C327" i="1"/>
  <c r="K326" i="1"/>
  <c r="D326" i="1"/>
  <c r="C326" i="1"/>
  <c r="K325" i="1"/>
  <c r="D325" i="1"/>
  <c r="C325" i="1"/>
  <c r="K324" i="1"/>
  <c r="D324" i="1"/>
  <c r="C324" i="1"/>
  <c r="K323" i="1"/>
  <c r="D323" i="1"/>
  <c r="C323" i="1"/>
  <c r="K322" i="1"/>
  <c r="D322" i="1"/>
  <c r="C322" i="1"/>
  <c r="K321" i="1"/>
  <c r="D321" i="1"/>
  <c r="C321" i="1"/>
  <c r="K320" i="1"/>
  <c r="D320" i="1"/>
  <c r="C320" i="1"/>
  <c r="K319" i="1"/>
  <c r="D319" i="1"/>
  <c r="C319" i="1"/>
  <c r="K318" i="1"/>
  <c r="D318" i="1"/>
  <c r="C318" i="1"/>
  <c r="K317" i="1"/>
  <c r="D317" i="1"/>
  <c r="C317" i="1"/>
  <c r="K316" i="1"/>
  <c r="D316" i="1"/>
  <c r="C316" i="1"/>
  <c r="K315" i="1"/>
  <c r="D315" i="1"/>
  <c r="C315" i="1"/>
  <c r="K314" i="1"/>
  <c r="D314" i="1"/>
  <c r="C314" i="1"/>
  <c r="K313" i="1"/>
  <c r="D313" i="1"/>
  <c r="C313" i="1"/>
  <c r="K312" i="1"/>
  <c r="D312" i="1"/>
  <c r="C312" i="1"/>
  <c r="K311" i="1"/>
  <c r="D311" i="1"/>
  <c r="C311" i="1"/>
  <c r="K310" i="1"/>
  <c r="D310" i="1"/>
  <c r="C310" i="1"/>
  <c r="K309" i="1"/>
  <c r="D309" i="1"/>
  <c r="C309" i="1"/>
  <c r="K308" i="1"/>
  <c r="D308" i="1"/>
  <c r="C308" i="1"/>
  <c r="K307" i="1"/>
  <c r="D307" i="1"/>
  <c r="C307" i="1"/>
  <c r="K306" i="1"/>
  <c r="D306" i="1"/>
  <c r="C306" i="1"/>
  <c r="K305" i="1"/>
  <c r="D305" i="1"/>
  <c r="C305" i="1"/>
  <c r="K304" i="1"/>
  <c r="D304" i="1"/>
  <c r="C304" i="1"/>
  <c r="K303" i="1"/>
  <c r="D303" i="1"/>
  <c r="C303" i="1"/>
  <c r="K302" i="1"/>
  <c r="D302" i="1"/>
  <c r="C302" i="1"/>
  <c r="K301" i="1"/>
  <c r="D301" i="1"/>
  <c r="C301" i="1"/>
  <c r="K300" i="1"/>
  <c r="D300" i="1"/>
  <c r="C300" i="1"/>
  <c r="K299" i="1"/>
  <c r="D299" i="1"/>
  <c r="C299" i="1"/>
  <c r="K298" i="1"/>
  <c r="D298" i="1"/>
  <c r="C298" i="1"/>
  <c r="K297" i="1"/>
  <c r="D297" i="1"/>
  <c r="C297" i="1"/>
  <c r="K296" i="1"/>
  <c r="D296" i="1"/>
  <c r="C296" i="1"/>
  <c r="K295" i="1"/>
  <c r="D295" i="1"/>
  <c r="C295" i="1"/>
  <c r="K294" i="1"/>
  <c r="D294" i="1"/>
  <c r="C294" i="1"/>
  <c r="K293" i="1"/>
  <c r="D293" i="1"/>
  <c r="C293" i="1"/>
  <c r="K292" i="1"/>
  <c r="D292" i="1"/>
  <c r="C292" i="1"/>
  <c r="K291" i="1"/>
  <c r="D291" i="1"/>
  <c r="C291" i="1"/>
  <c r="K290" i="1"/>
  <c r="D290" i="1"/>
  <c r="C290" i="1"/>
  <c r="K289" i="1"/>
  <c r="D289" i="1"/>
  <c r="C289" i="1"/>
  <c r="K288" i="1"/>
  <c r="D288" i="1"/>
  <c r="C288" i="1"/>
  <c r="K287" i="1"/>
  <c r="D287" i="1"/>
  <c r="C287" i="1"/>
  <c r="K286" i="1"/>
  <c r="D286" i="1"/>
  <c r="C286" i="1"/>
  <c r="K285" i="1"/>
  <c r="D285" i="1"/>
  <c r="C285" i="1"/>
  <c r="K284" i="1"/>
  <c r="D284" i="1"/>
  <c r="C284" i="1"/>
  <c r="K283" i="1"/>
  <c r="D283" i="1"/>
  <c r="C283" i="1"/>
  <c r="K282" i="1"/>
  <c r="D282" i="1"/>
  <c r="C282" i="1"/>
  <c r="K281" i="1"/>
  <c r="D281" i="1"/>
  <c r="C281" i="1"/>
  <c r="K280" i="1"/>
  <c r="D280" i="1"/>
  <c r="C280" i="1"/>
  <c r="K279" i="1"/>
  <c r="D279" i="1"/>
  <c r="C279" i="1"/>
  <c r="K278" i="1"/>
  <c r="D278" i="1"/>
  <c r="C278" i="1"/>
  <c r="K277" i="1"/>
  <c r="D277" i="1"/>
  <c r="C277" i="1"/>
  <c r="K276" i="1"/>
  <c r="D276" i="1"/>
  <c r="C276" i="1"/>
  <c r="K275" i="1"/>
  <c r="D275" i="1"/>
  <c r="C275" i="1"/>
  <c r="K274" i="1"/>
  <c r="D274" i="1"/>
  <c r="C274" i="1"/>
  <c r="K273" i="1"/>
  <c r="D273" i="1"/>
  <c r="C273" i="1"/>
  <c r="K272" i="1"/>
  <c r="D272" i="1"/>
  <c r="C272" i="1"/>
  <c r="K271" i="1"/>
  <c r="D271" i="1"/>
  <c r="C271" i="1"/>
  <c r="K270" i="1"/>
  <c r="D270" i="1"/>
  <c r="C270" i="1"/>
  <c r="K269" i="1"/>
  <c r="D269" i="1"/>
  <c r="C269" i="1"/>
  <c r="K268" i="1"/>
  <c r="D268" i="1"/>
  <c r="C268" i="1"/>
  <c r="K267" i="1"/>
  <c r="D267" i="1"/>
  <c r="C267" i="1"/>
  <c r="K266" i="1"/>
  <c r="D266" i="1"/>
  <c r="C266" i="1"/>
  <c r="K265" i="1"/>
  <c r="D265" i="1"/>
  <c r="C265" i="1"/>
  <c r="K264" i="1"/>
  <c r="D264" i="1"/>
  <c r="C264" i="1"/>
  <c r="K263" i="1"/>
  <c r="D263" i="1"/>
  <c r="C263" i="1"/>
  <c r="K262" i="1"/>
  <c r="D262" i="1"/>
  <c r="C262" i="1"/>
  <c r="K261" i="1"/>
  <c r="D261" i="1"/>
  <c r="C261" i="1"/>
  <c r="K260" i="1"/>
  <c r="D260" i="1"/>
  <c r="C260" i="1"/>
  <c r="K259" i="1"/>
  <c r="D259" i="1"/>
  <c r="C259" i="1"/>
  <c r="K258" i="1"/>
  <c r="D258" i="1"/>
  <c r="C258" i="1"/>
  <c r="K257" i="1"/>
  <c r="D257" i="1"/>
  <c r="C257" i="1"/>
  <c r="K256" i="1"/>
  <c r="D256" i="1"/>
  <c r="C256" i="1"/>
  <c r="K255" i="1"/>
  <c r="D255" i="1"/>
  <c r="C255" i="1"/>
  <c r="K254" i="1"/>
  <c r="D254" i="1"/>
  <c r="C254" i="1"/>
  <c r="K253" i="1"/>
  <c r="D253" i="1"/>
  <c r="C253" i="1"/>
  <c r="K252" i="1"/>
  <c r="D252" i="1"/>
  <c r="C252" i="1"/>
  <c r="K251" i="1"/>
  <c r="D251" i="1"/>
  <c r="C251" i="1"/>
  <c r="K250" i="1"/>
  <c r="D250" i="1"/>
  <c r="C250" i="1"/>
  <c r="K249" i="1"/>
  <c r="D249" i="1"/>
  <c r="C249" i="1"/>
  <c r="K248" i="1"/>
  <c r="D248" i="1"/>
  <c r="C248" i="1"/>
  <c r="K247" i="1"/>
  <c r="D247" i="1"/>
  <c r="C247" i="1"/>
  <c r="K246" i="1"/>
  <c r="D246" i="1"/>
  <c r="C246" i="1"/>
  <c r="K245" i="1"/>
  <c r="D245" i="1"/>
  <c r="C245" i="1"/>
  <c r="K244" i="1"/>
  <c r="D244" i="1"/>
  <c r="C244" i="1"/>
  <c r="K243" i="1"/>
  <c r="D243" i="1"/>
  <c r="C243" i="1"/>
  <c r="K242" i="1"/>
  <c r="D242" i="1"/>
  <c r="C242" i="1"/>
  <c r="K241" i="1"/>
  <c r="D241" i="1"/>
  <c r="C241" i="1"/>
  <c r="K240" i="1"/>
  <c r="D240" i="1"/>
  <c r="C240" i="1"/>
  <c r="K239" i="1"/>
  <c r="D239" i="1"/>
  <c r="C239" i="1"/>
  <c r="K238" i="1"/>
  <c r="D238" i="1"/>
  <c r="C238" i="1"/>
  <c r="K237" i="1"/>
  <c r="D237" i="1"/>
  <c r="C237" i="1"/>
  <c r="K236" i="1"/>
  <c r="D236" i="1"/>
  <c r="C236" i="1"/>
  <c r="K235" i="1"/>
  <c r="D235" i="1"/>
  <c r="C235" i="1"/>
  <c r="K234" i="1"/>
  <c r="D234" i="1"/>
  <c r="C234" i="1"/>
  <c r="K233" i="1"/>
  <c r="D233" i="1"/>
  <c r="C233" i="1"/>
  <c r="K232" i="1"/>
  <c r="D232" i="1"/>
  <c r="C232" i="1"/>
  <c r="K231" i="1"/>
  <c r="D231" i="1"/>
  <c r="C231" i="1"/>
  <c r="K230" i="1"/>
  <c r="D230" i="1"/>
  <c r="C230" i="1"/>
  <c r="K229" i="1"/>
  <c r="D229" i="1"/>
  <c r="C229" i="1"/>
  <c r="K228" i="1"/>
  <c r="D228" i="1"/>
  <c r="C228" i="1"/>
  <c r="K227" i="1"/>
  <c r="D227" i="1"/>
  <c r="C227" i="1"/>
  <c r="K226" i="1"/>
  <c r="D226" i="1"/>
  <c r="C226" i="1"/>
  <c r="K225" i="1"/>
  <c r="D225" i="1"/>
  <c r="C225" i="1"/>
  <c r="K224" i="1"/>
  <c r="D224" i="1"/>
  <c r="C224" i="1"/>
  <c r="K223" i="1"/>
  <c r="D223" i="1"/>
  <c r="C223" i="1"/>
  <c r="K222" i="1"/>
  <c r="D222" i="1"/>
  <c r="C222" i="1"/>
  <c r="K221" i="1"/>
  <c r="D221" i="1"/>
  <c r="C221" i="1"/>
  <c r="K220" i="1"/>
  <c r="D220" i="1"/>
  <c r="C220" i="1"/>
  <c r="K219" i="1"/>
  <c r="D219" i="1"/>
  <c r="C219" i="1"/>
  <c r="K218" i="1"/>
  <c r="D218" i="1"/>
  <c r="C218" i="1"/>
  <c r="K217" i="1"/>
  <c r="D217" i="1"/>
  <c r="C217" i="1"/>
  <c r="K216" i="1"/>
  <c r="D216" i="1"/>
  <c r="C216" i="1"/>
  <c r="K215" i="1"/>
  <c r="D215" i="1"/>
  <c r="C215" i="1"/>
  <c r="K214" i="1"/>
  <c r="D214" i="1"/>
  <c r="C214" i="1"/>
  <c r="K213" i="1"/>
  <c r="D213" i="1"/>
  <c r="C213" i="1"/>
  <c r="K212" i="1"/>
  <c r="D212" i="1"/>
  <c r="C212" i="1"/>
  <c r="K211" i="1"/>
  <c r="D211" i="1"/>
  <c r="C211" i="1"/>
  <c r="K210" i="1"/>
  <c r="D210" i="1"/>
  <c r="C210" i="1"/>
  <c r="K209" i="1"/>
  <c r="D209" i="1"/>
  <c r="C209" i="1"/>
  <c r="K208" i="1"/>
  <c r="D208" i="1"/>
  <c r="C208" i="1"/>
  <c r="K207" i="1"/>
  <c r="D207" i="1"/>
  <c r="C207" i="1"/>
  <c r="K206" i="1"/>
  <c r="D206" i="1"/>
  <c r="C206" i="1"/>
  <c r="K205" i="1"/>
  <c r="D205" i="1"/>
  <c r="K204" i="1"/>
  <c r="D204" i="1"/>
  <c r="K203" i="1"/>
  <c r="D203" i="1"/>
  <c r="K202" i="1"/>
  <c r="D202" i="1"/>
  <c r="K201" i="1"/>
  <c r="D201" i="1"/>
  <c r="K200" i="1"/>
  <c r="D200" i="1"/>
  <c r="K199" i="1"/>
  <c r="D199" i="1"/>
  <c r="K198" i="1"/>
  <c r="D198" i="1"/>
  <c r="K197" i="1"/>
  <c r="D197" i="1"/>
  <c r="K196" i="1"/>
  <c r="D196" i="1"/>
  <c r="K195" i="1"/>
  <c r="D195" i="1"/>
  <c r="K194" i="1"/>
  <c r="D194" i="1"/>
  <c r="K193" i="1"/>
  <c r="D193" i="1"/>
  <c r="K192" i="1"/>
  <c r="D192" i="1"/>
  <c r="K191" i="1"/>
  <c r="D191" i="1"/>
  <c r="K190" i="1"/>
  <c r="D190" i="1"/>
  <c r="K189" i="1"/>
  <c r="D189" i="1"/>
  <c r="K188" i="1"/>
  <c r="D188" i="1"/>
  <c r="K187" i="1"/>
  <c r="D187" i="1"/>
  <c r="K186" i="1"/>
  <c r="D186" i="1"/>
  <c r="K185" i="1"/>
  <c r="D185" i="1"/>
  <c r="K184" i="1"/>
  <c r="D184" i="1"/>
  <c r="K183" i="1"/>
  <c r="D183" i="1"/>
  <c r="K182" i="1"/>
  <c r="D182" i="1"/>
  <c r="K181" i="1"/>
  <c r="D181" i="1"/>
  <c r="K180" i="1"/>
  <c r="D180" i="1"/>
  <c r="K179" i="1"/>
  <c r="D179" i="1"/>
  <c r="K178" i="1"/>
  <c r="D178" i="1"/>
  <c r="K177" i="1"/>
  <c r="D177" i="1"/>
  <c r="K176" i="1"/>
  <c r="D176" i="1"/>
  <c r="K175" i="1"/>
  <c r="D175" i="1"/>
  <c r="K174" i="1"/>
  <c r="D174" i="1"/>
  <c r="K173" i="1"/>
  <c r="D173" i="1"/>
  <c r="K172" i="1"/>
  <c r="D172" i="1"/>
  <c r="K171" i="1"/>
  <c r="D171" i="1"/>
  <c r="K170" i="1"/>
  <c r="D170" i="1"/>
  <c r="K169" i="1"/>
  <c r="D169" i="1"/>
  <c r="K168" i="1"/>
  <c r="D168" i="1"/>
  <c r="K167" i="1"/>
  <c r="D167" i="1"/>
  <c r="K166" i="1"/>
  <c r="D166" i="1"/>
  <c r="K165" i="1"/>
  <c r="D165" i="1"/>
  <c r="K164" i="1"/>
  <c r="D164" i="1"/>
  <c r="K163" i="1"/>
  <c r="D163" i="1"/>
  <c r="K162" i="1"/>
  <c r="D162" i="1"/>
  <c r="K161" i="1"/>
  <c r="D161" i="1"/>
  <c r="K160" i="1"/>
  <c r="D160" i="1"/>
  <c r="K159" i="1"/>
  <c r="D159" i="1"/>
  <c r="K158" i="1"/>
  <c r="D158" i="1"/>
  <c r="K157" i="1"/>
  <c r="D157" i="1"/>
  <c r="K156" i="1"/>
  <c r="D156" i="1"/>
  <c r="K155" i="1"/>
  <c r="D155" i="1"/>
  <c r="K154" i="1"/>
  <c r="D154" i="1"/>
  <c r="K153" i="1"/>
  <c r="D153" i="1"/>
  <c r="K152" i="1"/>
  <c r="D152" i="1"/>
  <c r="K151" i="1"/>
  <c r="D151" i="1"/>
  <c r="K150" i="1"/>
  <c r="D150" i="1"/>
  <c r="K149" i="1"/>
  <c r="D149" i="1"/>
  <c r="K148" i="1"/>
  <c r="D148" i="1"/>
  <c r="K147" i="1"/>
  <c r="D147" i="1"/>
  <c r="K146" i="1"/>
  <c r="D146" i="1"/>
  <c r="K145" i="1"/>
  <c r="D145" i="1"/>
  <c r="K144" i="1"/>
  <c r="D144" i="1"/>
  <c r="K143" i="1"/>
  <c r="D143" i="1"/>
  <c r="K142" i="1"/>
  <c r="D142" i="1"/>
  <c r="K141" i="1"/>
  <c r="D141" i="1"/>
  <c r="K140" i="1"/>
  <c r="D140" i="1"/>
  <c r="K139" i="1"/>
  <c r="D139" i="1"/>
  <c r="K138" i="1"/>
  <c r="D138" i="1"/>
  <c r="K137" i="1"/>
  <c r="D137" i="1"/>
  <c r="K136" i="1"/>
  <c r="D136" i="1"/>
  <c r="K135" i="1"/>
  <c r="D135" i="1"/>
  <c r="K134" i="1"/>
  <c r="D134" i="1"/>
  <c r="K133" i="1"/>
  <c r="D133" i="1"/>
  <c r="K132" i="1"/>
  <c r="D132" i="1"/>
  <c r="K131" i="1"/>
  <c r="D131" i="1"/>
  <c r="K130" i="1"/>
  <c r="D130" i="1"/>
  <c r="K129" i="1"/>
  <c r="D129" i="1"/>
  <c r="K128" i="1"/>
  <c r="D128" i="1"/>
  <c r="K127" i="1"/>
  <c r="D127" i="1"/>
  <c r="K126" i="1"/>
  <c r="D126" i="1"/>
  <c r="K125" i="1"/>
  <c r="D125" i="1"/>
  <c r="K124" i="1"/>
  <c r="D124" i="1"/>
  <c r="K123" i="1"/>
  <c r="D123" i="1"/>
  <c r="K122" i="1"/>
  <c r="D122" i="1"/>
  <c r="K121" i="1"/>
  <c r="D121" i="1"/>
  <c r="K120" i="1"/>
  <c r="D120" i="1"/>
  <c r="K119" i="1"/>
  <c r="D119" i="1"/>
  <c r="K118" i="1"/>
  <c r="D118" i="1"/>
  <c r="K117" i="1"/>
  <c r="D117" i="1"/>
  <c r="K116" i="1"/>
  <c r="D116" i="1"/>
  <c r="K115" i="1"/>
  <c r="D115" i="1"/>
  <c r="K114" i="1"/>
  <c r="D114" i="1"/>
  <c r="K113" i="1"/>
  <c r="D113" i="1"/>
  <c r="K112" i="1"/>
  <c r="D112" i="1"/>
  <c r="K111" i="1"/>
  <c r="D111" i="1"/>
  <c r="K110" i="1"/>
  <c r="D110" i="1"/>
  <c r="K109" i="1"/>
  <c r="D109" i="1"/>
  <c r="K108" i="1"/>
  <c r="D108" i="1"/>
  <c r="K107" i="1"/>
  <c r="D107" i="1"/>
  <c r="K106" i="1"/>
  <c r="D106" i="1"/>
  <c r="K105" i="1"/>
  <c r="D105" i="1"/>
  <c r="K104" i="1"/>
  <c r="D104" i="1"/>
  <c r="K103" i="1"/>
  <c r="D103" i="1"/>
  <c r="K102" i="1"/>
  <c r="D102" i="1"/>
  <c r="K101" i="1"/>
  <c r="D101" i="1"/>
  <c r="K100" i="1"/>
  <c r="D100" i="1"/>
  <c r="K99" i="1"/>
  <c r="D99" i="1"/>
  <c r="K98" i="1"/>
  <c r="D98" i="1"/>
  <c r="K97" i="1"/>
  <c r="D97" i="1"/>
  <c r="K96" i="1"/>
  <c r="D96" i="1"/>
  <c r="K95" i="1"/>
  <c r="D95" i="1"/>
  <c r="K94" i="1"/>
  <c r="D94" i="1"/>
  <c r="K93" i="1"/>
  <c r="D93" i="1"/>
  <c r="K92" i="1"/>
  <c r="D92" i="1"/>
  <c r="K91" i="1"/>
  <c r="D91" i="1"/>
  <c r="K90" i="1"/>
  <c r="D90" i="1"/>
  <c r="K89" i="1"/>
  <c r="D89" i="1"/>
  <c r="K88" i="1"/>
  <c r="D88" i="1"/>
  <c r="K87" i="1"/>
  <c r="D87" i="1"/>
  <c r="K86" i="1"/>
  <c r="D86" i="1"/>
  <c r="K85" i="1"/>
  <c r="D85" i="1"/>
  <c r="K84" i="1"/>
  <c r="D84" i="1"/>
  <c r="K83" i="1"/>
  <c r="D83" i="1"/>
  <c r="K82" i="1"/>
  <c r="D82" i="1"/>
  <c r="K81" i="1"/>
  <c r="D81" i="1"/>
  <c r="K80" i="1"/>
  <c r="D80" i="1"/>
  <c r="K79" i="1"/>
  <c r="D79" i="1"/>
  <c r="K78" i="1"/>
  <c r="D78" i="1"/>
  <c r="K77" i="1"/>
  <c r="D77" i="1"/>
  <c r="K76" i="1"/>
  <c r="D76" i="1"/>
  <c r="K75" i="1"/>
  <c r="D75" i="1"/>
  <c r="K74" i="1"/>
  <c r="D74" i="1"/>
  <c r="K73" i="1"/>
  <c r="D73" i="1"/>
  <c r="K72" i="1"/>
  <c r="D72" i="1"/>
  <c r="K71" i="1"/>
  <c r="D71" i="1"/>
  <c r="K70" i="1"/>
  <c r="D70" i="1"/>
  <c r="K69" i="1"/>
  <c r="D69" i="1"/>
  <c r="K68" i="1"/>
  <c r="I68" i="1"/>
  <c r="I69" i="1" s="1"/>
  <c r="I70" i="1" s="1"/>
  <c r="D68" i="1"/>
  <c r="K67" i="1"/>
  <c r="D67" i="1"/>
  <c r="K66" i="1"/>
  <c r="D66" i="1"/>
  <c r="K65" i="1"/>
  <c r="D65" i="1"/>
  <c r="K64" i="1"/>
  <c r="I64" i="1"/>
  <c r="I65" i="1" s="1"/>
  <c r="I66" i="1" s="1"/>
  <c r="D64" i="1"/>
  <c r="K63" i="1"/>
  <c r="D63" i="1"/>
  <c r="K62" i="1"/>
  <c r="I62" i="1"/>
  <c r="D62" i="1"/>
  <c r="K61" i="1"/>
  <c r="I61" i="1"/>
  <c r="D61" i="1"/>
  <c r="K60" i="1"/>
  <c r="I60" i="1"/>
  <c r="D60" i="1"/>
  <c r="K59" i="1"/>
  <c r="D59" i="1"/>
  <c r="K58" i="1"/>
  <c r="D58" i="1"/>
  <c r="K57" i="1"/>
  <c r="D57" i="1"/>
  <c r="K56" i="1"/>
  <c r="D56" i="1"/>
  <c r="K55" i="1"/>
  <c r="I55" i="1"/>
  <c r="I56" i="1" s="1"/>
  <c r="I57" i="1" s="1"/>
  <c r="I58" i="1" s="1"/>
  <c r="D55" i="1"/>
  <c r="K54" i="1"/>
  <c r="D54" i="1"/>
  <c r="K53" i="1"/>
  <c r="D53" i="1"/>
  <c r="K52" i="1"/>
  <c r="D52" i="1"/>
  <c r="K51" i="1"/>
  <c r="I51" i="1"/>
  <c r="I52" i="1" s="1"/>
  <c r="I53" i="1" s="1"/>
  <c r="D51" i="1"/>
  <c r="K50" i="1"/>
  <c r="D50" i="1"/>
  <c r="K49" i="1"/>
  <c r="D49" i="1"/>
  <c r="K48" i="1"/>
  <c r="D48" i="1"/>
  <c r="K47" i="1"/>
  <c r="D47" i="1"/>
  <c r="K46" i="1"/>
  <c r="I46" i="1"/>
  <c r="I47" i="1" s="1"/>
  <c r="I48" i="1" s="1"/>
  <c r="I49" i="1" s="1"/>
  <c r="D46" i="1"/>
  <c r="K45" i="1"/>
  <c r="D45" i="1"/>
  <c r="K44" i="1"/>
  <c r="D44" i="1"/>
  <c r="K43" i="1"/>
  <c r="D43" i="1"/>
  <c r="K42" i="1"/>
  <c r="I42" i="1"/>
  <c r="I43" i="1" s="1"/>
  <c r="I44" i="1" s="1"/>
  <c r="D42" i="1"/>
  <c r="K41" i="1"/>
  <c r="D41" i="1"/>
  <c r="K40" i="1"/>
  <c r="D40" i="1"/>
  <c r="K39" i="1"/>
  <c r="D39" i="1"/>
  <c r="K38" i="1"/>
  <c r="I38" i="1"/>
  <c r="I39" i="1" s="1"/>
  <c r="I40" i="1" s="1"/>
  <c r="D38" i="1"/>
  <c r="K37" i="1"/>
  <c r="D37" i="1"/>
  <c r="K36" i="1"/>
  <c r="D36" i="1"/>
  <c r="K35" i="1"/>
  <c r="D35" i="1"/>
  <c r="K34" i="1"/>
  <c r="D34" i="1"/>
  <c r="K33" i="1"/>
  <c r="I33" i="1"/>
  <c r="I34" i="1" s="1"/>
  <c r="I35" i="1" s="1"/>
  <c r="I36" i="1" s="1"/>
  <c r="D33" i="1"/>
  <c r="K32" i="1"/>
  <c r="D32" i="1"/>
  <c r="K31" i="1"/>
  <c r="D31" i="1"/>
  <c r="K30" i="1"/>
  <c r="D30" i="1"/>
  <c r="K29" i="1"/>
  <c r="D29" i="1"/>
  <c r="K28" i="1"/>
  <c r="D28" i="1"/>
  <c r="K27" i="1"/>
  <c r="D27" i="1"/>
  <c r="K26" i="1"/>
  <c r="D26" i="1"/>
  <c r="K25" i="1"/>
  <c r="I25" i="1"/>
  <c r="I26" i="1" s="1"/>
  <c r="I27" i="1" s="1"/>
  <c r="I28" i="1" s="1"/>
  <c r="I29" i="1" s="1"/>
  <c r="I30" i="1" s="1"/>
  <c r="I31" i="1" s="1"/>
  <c r="D25" i="1"/>
  <c r="K24" i="1"/>
  <c r="D24" i="1"/>
  <c r="K23" i="1"/>
  <c r="D23" i="1"/>
  <c r="K22" i="1"/>
  <c r="D22" i="1"/>
  <c r="K21" i="1"/>
  <c r="D21" i="1"/>
  <c r="K20" i="1"/>
  <c r="I20" i="1"/>
  <c r="I21" i="1" s="1"/>
  <c r="I22" i="1" s="1"/>
  <c r="I23" i="1" s="1"/>
  <c r="D20" i="1"/>
  <c r="K19" i="1"/>
  <c r="D19" i="1"/>
  <c r="K18" i="1"/>
  <c r="D18" i="1"/>
  <c r="K17" i="1"/>
  <c r="D17" i="1"/>
  <c r="K16" i="1"/>
  <c r="I16" i="1"/>
  <c r="I17" i="1" s="1"/>
  <c r="I18" i="1" s="1"/>
  <c r="D16" i="1"/>
  <c r="K15" i="1"/>
  <c r="D15" i="1"/>
  <c r="K14" i="1"/>
  <c r="D14" i="1"/>
  <c r="K13" i="1"/>
  <c r="D13" i="1"/>
  <c r="K12" i="1"/>
  <c r="D12" i="1"/>
  <c r="K11" i="1"/>
  <c r="I11" i="1"/>
  <c r="I12" i="1" s="1"/>
  <c r="I13" i="1" s="1"/>
  <c r="I14" i="1" s="1"/>
  <c r="D11" i="1"/>
  <c r="K10" i="1"/>
  <c r="D10" i="1"/>
  <c r="K9" i="1"/>
  <c r="D9" i="1"/>
  <c r="K8" i="1"/>
  <c r="D8" i="1"/>
  <c r="K7" i="1"/>
  <c r="D7" i="1"/>
  <c r="K6" i="1"/>
  <c r="D6" i="1"/>
  <c r="K5" i="1"/>
  <c r="D5" i="1"/>
  <c r="K4" i="1"/>
  <c r="D4" i="1"/>
  <c r="K3" i="1"/>
  <c r="D3" i="1"/>
  <c r="K2" i="1"/>
  <c r="D2" i="1"/>
</calcChain>
</file>

<file path=xl/sharedStrings.xml><?xml version="1.0" encoding="utf-8"?>
<sst xmlns="http://schemas.openxmlformats.org/spreadsheetml/2006/main" count="13" uniqueCount="13">
  <si>
    <t>thoigian</t>
  </si>
  <si>
    <t>EX_US_VN</t>
  </si>
  <si>
    <t>CPI_VN</t>
  </si>
  <si>
    <t>CPI_US</t>
  </si>
  <si>
    <t>VNGB</t>
  </si>
  <si>
    <t>USFFR</t>
  </si>
  <si>
    <t>VNI</t>
  </si>
  <si>
    <t>SPX</t>
  </si>
  <si>
    <t>FDI_VN</t>
  </si>
  <si>
    <t>FDI_US</t>
  </si>
  <si>
    <t>IMEX_VN</t>
  </si>
  <si>
    <t>DXY</t>
  </si>
  <si>
    <t>VNFR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</si>
</sst>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wrapText="1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</cellXfs>
  <cellStyles count="1">
    <cellStyle name="Normal" xfId="0" builtinId="0"/>
  </cellStyles>
  <dxfs count="9"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3">
    <tableStyle name="3.2.1-3.2.4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heo tuan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EX_US_VN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536">
  <tableColumns count="13">
    <tableColumn id="1" xr3:uid="{00000000-0010-0000-0000-000001000000}" name="thoigian"/>
    <tableColumn id="2" xr3:uid="{00000000-0010-0000-0000-000002000000}" name="EX_US_VN"/>
    <tableColumn id="3" xr3:uid="{00000000-0010-0000-0000-000003000000}" name="CPI_VN"/>
    <tableColumn id="4" xr3:uid="{00000000-0010-0000-0000-000004000000}" name="CPI_US"/>
    <tableColumn id="5" xr3:uid="{00000000-0010-0000-0000-000005000000}" name="VNGB"/>
    <tableColumn id="6" xr3:uid="{00000000-0010-0000-0000-000006000000}" name="USFFR"/>
    <tableColumn id="7" xr3:uid="{00000000-0010-0000-0000-000007000000}" name="VNI"/>
    <tableColumn id="8" xr3:uid="{00000000-0010-0000-0000-000008000000}" name="SPX"/>
    <tableColumn id="9" xr3:uid="{00000000-0010-0000-0000-000009000000}" name="FDI_VN"/>
    <tableColumn id="10" xr3:uid="{00000000-0010-0000-0000-00000A000000}" name="FDI_US"/>
    <tableColumn id="11" xr3:uid="{00000000-0010-0000-0000-00000B000000}" name="IMEX_VN"/>
    <tableColumn id="12" xr3:uid="{00000000-0010-0000-0000-00000C000000}" name="DXY"/>
    <tableColumn id="13" xr3:uid="{00000000-0010-0000-0000-00000D000000}" name="VNFR"/>
  </tableColumns>
  <tableStyleInfo name="3.2.1-3.2.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36"/>
  <sheetViews>
    <sheetView tabSelected="1" workbookViewId="0">
      <pane xSplit="1" topLeftCell="B1" activePane="topRight" state="frozen"/>
      <selection pane="topRight" activeCell="N3" sqref="N3"/>
    </sheetView>
  </sheetViews>
  <sheetFormatPr defaultColWidth="12.6328125" defaultRowHeight="15.75" customHeight="1"/>
  <cols>
    <col min="1" max="1" width="9.90625" customWidth="1"/>
    <col min="3" max="4" width="7" customWidth="1"/>
    <col min="5" max="5" width="5.7265625" customWidth="1"/>
    <col min="6" max="6" width="6.453125" customWidth="1"/>
    <col min="7" max="8" width="7.453125" customWidth="1"/>
    <col min="9" max="10" width="6.90625" customWidth="1"/>
    <col min="11" max="11" width="8.36328125" customWidth="1"/>
    <col min="12" max="12" width="4.7265625" customWidth="1"/>
    <col min="13" max="13" width="6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4">
        <v>42008</v>
      </c>
      <c r="B2" s="5">
        <v>21370</v>
      </c>
      <c r="C2" s="2">
        <v>-0.2</v>
      </c>
      <c r="D2" s="2">
        <f ca="1">IFERROR(__xludf.DUMMYFUNCTION("IF($A2="""","""", IFERROR(
  INDEX(
    FILTER(CPI_US!$D$2:$D$130, MONTH(CPI_US!$A$2:$A$130)=MONTH($A2), YEAR(CPI_US!$A$2:$A$130)=YEAR($A2)),
    1
  ),
""""))"),0.8)</f>
        <v>0.8</v>
      </c>
      <c r="E2" s="2">
        <v>7.1550000000000002</v>
      </c>
      <c r="F2" s="2">
        <v>0.12</v>
      </c>
      <c r="G2" s="2">
        <v>569</v>
      </c>
      <c r="H2" s="2">
        <v>2044.8</v>
      </c>
      <c r="I2" s="2">
        <v>0.51</v>
      </c>
      <c r="J2" s="2">
        <v>34.6</v>
      </c>
      <c r="K2" s="2">
        <f ca="1">IFERROR(__xludf.DUMMYFUNCTION("IF($A2="""","""", IFERROR(
  INDEX(
    FILTER(IMEX_VN!$B$2:$B$130, MONTH(IMEX_VN!$A$2:$A$130)=MONTH($A2), YEAR(IMEX_VN!$A$2:$A$130)=YEAR($A2)),
    1
  ),
""""))"),-0.4)</f>
        <v>-0.4</v>
      </c>
      <c r="L2" s="6">
        <v>92</v>
      </c>
      <c r="M2" s="7">
        <v>34.75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8">
        <v>42015</v>
      </c>
      <c r="B3" s="9">
        <v>21340</v>
      </c>
      <c r="C3" s="2">
        <v>-0.2</v>
      </c>
      <c r="D3" s="2">
        <f ca="1">IFERROR(__xludf.DUMMYFUNCTION("IF($A3="""","""", IFERROR(
  INDEX(
    FILTER(CPI_US!$D$2:$D$130, MONTH(CPI_US!$A$2:$A$130)=MONTH($A3), YEAR(CPI_US!$A$2:$A$130)=YEAR($A3)),
    1
  ),
""""))"),0.8)</f>
        <v>0.8</v>
      </c>
      <c r="E3" s="2">
        <v>6.9749999999999996</v>
      </c>
      <c r="F3" s="2">
        <v>0.12</v>
      </c>
      <c r="G3" s="2">
        <v>574</v>
      </c>
      <c r="H3" s="2">
        <v>2019.4</v>
      </c>
      <c r="I3" s="2">
        <v>0.51</v>
      </c>
      <c r="J3" s="2">
        <v>34.6</v>
      </c>
      <c r="K3" s="2">
        <f ca="1">IFERROR(__xludf.DUMMYFUNCTION("IF($A3="""","""", IFERROR(
  INDEX(
    FILTER(IMEX_VN!$B$2:$B$130, MONTH(IMEX_VN!$A$2:$A$130)=MONTH($A3), YEAR(IMEX_VN!$A$2:$A$130)=YEAR($A3)),
    1
  ),
""""))"),-0.4)</f>
        <v>-0.4</v>
      </c>
      <c r="L3" s="7">
        <v>93</v>
      </c>
      <c r="M3" s="7">
        <v>34.75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8">
        <v>42022</v>
      </c>
      <c r="B4" s="9">
        <v>21350</v>
      </c>
      <c r="C4" s="2">
        <v>-0.2</v>
      </c>
      <c r="D4" s="2">
        <f ca="1">IFERROR(__xludf.DUMMYFUNCTION("IF($A4="""","""", IFERROR(
  INDEX(
    FILTER(CPI_US!$D$2:$D$130, MONTH(CPI_US!$A$2:$A$130)=MONTH($A4), YEAR(CPI_US!$A$2:$A$130)=YEAR($A4)),
    1
  ),
""""))"),0.8)</f>
        <v>0.8</v>
      </c>
      <c r="E4" s="2">
        <v>6.9640000000000004</v>
      </c>
      <c r="F4" s="2">
        <v>0.13</v>
      </c>
      <c r="G4" s="2">
        <v>582</v>
      </c>
      <c r="H4" s="2">
        <v>2051.8000000000002</v>
      </c>
      <c r="I4" s="2">
        <v>0.51</v>
      </c>
      <c r="J4" s="2">
        <v>34.6</v>
      </c>
      <c r="K4" s="2">
        <f ca="1">IFERROR(__xludf.DUMMYFUNCTION("IF($A4="""","""", IFERROR(
  INDEX(
    FILTER(IMEX_VN!$B$2:$B$130, MONTH(IMEX_VN!$A$2:$A$130)=MONTH($A4), YEAR(IMEX_VN!$A$2:$A$130)=YEAR($A4)),
    1
  ),
""""))"),-0.4)</f>
        <v>-0.4</v>
      </c>
      <c r="L4" s="6">
        <v>95</v>
      </c>
      <c r="M4" s="7">
        <v>34.75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8">
        <v>42029</v>
      </c>
      <c r="B5" s="9">
        <v>21317</v>
      </c>
      <c r="C5" s="2">
        <v>-0.2</v>
      </c>
      <c r="D5" s="2">
        <f ca="1">IFERROR(__xludf.DUMMYFUNCTION("IF($A5="""","""", IFERROR(
  INDEX(
    FILTER(CPI_US!$D$2:$D$130, MONTH(CPI_US!$A$2:$A$130)=MONTH($A5), YEAR(CPI_US!$A$2:$A$130)=YEAR($A5)),
    1
  ),
""""))"),0.8)</f>
        <v>0.8</v>
      </c>
      <c r="E5" s="2">
        <v>6.6449999999999996</v>
      </c>
      <c r="F5" s="2">
        <v>0.12</v>
      </c>
      <c r="G5" s="2">
        <v>576</v>
      </c>
      <c r="H5" s="2">
        <v>1995</v>
      </c>
      <c r="I5" s="2">
        <v>0.51</v>
      </c>
      <c r="J5" s="2">
        <v>34.6</v>
      </c>
      <c r="K5" s="2">
        <f ca="1">IFERROR(__xludf.DUMMYFUNCTION("IF($A5="""","""", IFERROR(
  INDEX(
    FILTER(IMEX_VN!$B$2:$B$130, MONTH(IMEX_VN!$A$2:$A$130)=MONTH($A5), YEAR(IMEX_VN!$A$2:$A$130)=YEAR($A5)),
    1
  ),
""""))"),-0.4)</f>
        <v>-0.4</v>
      </c>
      <c r="L5" s="6">
        <v>95</v>
      </c>
      <c r="M5" s="7">
        <v>34.75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8">
        <v>42036</v>
      </c>
      <c r="B6" s="9">
        <v>21282</v>
      </c>
      <c r="C6" s="2">
        <v>0</v>
      </c>
      <c r="D6" s="2">
        <f ca="1">IFERROR(__xludf.DUMMYFUNCTION("IF($A6="""","""", IFERROR(
  INDEX(
    FILTER(CPI_US!$D$2:$D$130, MONTH(CPI_US!$A$2:$A$130)=MONTH($A6), YEAR(CPI_US!$A$2:$A$130)=YEAR($A6)),
    1
  ),
""""))"),-0.1)</f>
        <v>-0.1</v>
      </c>
      <c r="E6" s="2">
        <v>6.6420000000000003</v>
      </c>
      <c r="F6" s="2">
        <v>0.06</v>
      </c>
      <c r="G6" s="2">
        <v>574</v>
      </c>
      <c r="H6" s="2">
        <v>2055.5</v>
      </c>
      <c r="I6" s="2">
        <v>1.2</v>
      </c>
      <c r="J6" s="2">
        <v>34.6</v>
      </c>
      <c r="K6" s="2">
        <f ca="1">IFERROR(__xludf.DUMMYFUNCTION("IF($A6="""","""", IFERROR(
  INDEX(
    FILTER(IMEX_VN!$B$2:$B$130, MONTH(IMEX_VN!$A$2:$A$130)=MONTH($A6), YEAR(IMEX_VN!$A$2:$A$130)=YEAR($A6)),
    1
  ),
""""))"),-1)</f>
        <v>-1</v>
      </c>
      <c r="L6" s="6">
        <v>96</v>
      </c>
      <c r="M6" s="7">
        <v>35.5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8">
        <v>42043</v>
      </c>
      <c r="B7" s="9">
        <v>21330</v>
      </c>
      <c r="C7" s="2">
        <v>0</v>
      </c>
      <c r="D7" s="2">
        <f ca="1">IFERROR(__xludf.DUMMYFUNCTION("IF($A7="""","""", IFERROR(
  INDEX(
    FILTER(CPI_US!$D$2:$D$130, MONTH(CPI_US!$A$2:$A$130)=MONTH($A7), YEAR(CPI_US!$A$2:$A$130)=YEAR($A7)),
    1
  ),
""""))"),-0.1)</f>
        <v>-0.1</v>
      </c>
      <c r="E7" s="2">
        <v>6.5010000000000003</v>
      </c>
      <c r="F7" s="2">
        <v>0.11</v>
      </c>
      <c r="G7" s="2">
        <v>587</v>
      </c>
      <c r="H7" s="2">
        <v>2097</v>
      </c>
      <c r="I7" s="2">
        <v>1.2</v>
      </c>
      <c r="J7" s="2">
        <v>34.6</v>
      </c>
      <c r="K7" s="2">
        <f ca="1">IFERROR(__xludf.DUMMYFUNCTION("IF($A7="""","""", IFERROR(
  INDEX(
    FILTER(IMEX_VN!$B$2:$B$130, MONTH(IMEX_VN!$A$2:$A$130)=MONTH($A7), YEAR(IMEX_VN!$A$2:$A$130)=YEAR($A7)),
    1
  ),
""""))"),-1)</f>
        <v>-1</v>
      </c>
      <c r="L7" s="6">
        <v>94</v>
      </c>
      <c r="M7" s="7">
        <v>35.5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8">
        <v>42050</v>
      </c>
      <c r="B8" s="9">
        <v>21330</v>
      </c>
      <c r="C8" s="2">
        <v>0</v>
      </c>
      <c r="D8" s="2">
        <f ca="1">IFERROR(__xludf.DUMMYFUNCTION("IF($A8="""","""", IFERROR(
  INDEX(
    FILTER(CPI_US!$D$2:$D$130, MONTH(CPI_US!$A$2:$A$130)=MONTH($A8), YEAR(CPI_US!$A$2:$A$130)=YEAR($A8)),
    1
  ),
""""))"),-0.1)</f>
        <v>-0.1</v>
      </c>
      <c r="E8" s="2">
        <v>6.5010000000000003</v>
      </c>
      <c r="F8" s="2">
        <v>0.12</v>
      </c>
      <c r="G8" s="2">
        <v>587</v>
      </c>
      <c r="H8" s="2">
        <v>2110.3000000000002</v>
      </c>
      <c r="I8" s="2">
        <v>1.2</v>
      </c>
      <c r="J8" s="2">
        <v>34.6</v>
      </c>
      <c r="K8" s="2">
        <f ca="1">IFERROR(__xludf.DUMMYFUNCTION("IF($A8="""","""", IFERROR(
  INDEX(
    FILTER(IMEX_VN!$B$2:$B$130, MONTH(IMEX_VN!$A$2:$A$130)=MONTH($A8), YEAR(IMEX_VN!$A$2:$A$130)=YEAR($A8)),
    1
  ),
""""))"),-1)</f>
        <v>-1</v>
      </c>
      <c r="L8" s="6">
        <v>94</v>
      </c>
      <c r="M8" s="7">
        <v>35.5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8">
        <v>42057</v>
      </c>
      <c r="B9" s="9">
        <v>21347</v>
      </c>
      <c r="C9" s="2">
        <v>0</v>
      </c>
      <c r="D9" s="2">
        <f ca="1">IFERROR(__xludf.DUMMYFUNCTION("IF($A9="""","""", IFERROR(
  INDEX(
    FILTER(CPI_US!$D$2:$D$130, MONTH(CPI_US!$A$2:$A$130)=MONTH($A9), YEAR(CPI_US!$A$2:$A$130)=YEAR($A9)),
    1
  ),
""""))"),-0.1)</f>
        <v>-0.1</v>
      </c>
      <c r="E9" s="2">
        <v>6.4329999999999998</v>
      </c>
      <c r="F9" s="2">
        <v>0.12</v>
      </c>
      <c r="G9" s="2">
        <v>592</v>
      </c>
      <c r="H9" s="2">
        <v>2104.5</v>
      </c>
      <c r="I9" s="2">
        <v>1.2</v>
      </c>
      <c r="J9" s="2">
        <v>34.6</v>
      </c>
      <c r="K9" s="2">
        <f ca="1">IFERROR(__xludf.DUMMYFUNCTION("IF($A9="""","""", IFERROR(
  INDEX(
    FILTER(IMEX_VN!$B$2:$B$130, MONTH(IMEX_VN!$A$2:$A$130)=MONTH($A9), YEAR(IMEX_VN!$A$2:$A$130)=YEAR($A9)),
    1
  ),
""""))"),-1)</f>
        <v>-1</v>
      </c>
      <c r="L9" s="6">
        <v>95</v>
      </c>
      <c r="M9" s="7">
        <v>35.5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8">
        <v>42064</v>
      </c>
      <c r="B10" s="9">
        <v>21350</v>
      </c>
      <c r="C10" s="2">
        <v>0.1</v>
      </c>
      <c r="D10" s="2">
        <f ca="1">IFERROR(__xludf.DUMMYFUNCTION("IF($A10="""","""", IFERROR(
  INDEX(
    FILTER(CPI_US!$D$2:$D$130, MONTH(CPI_US!$A$2:$A$130)=MONTH($A10), YEAR(CPI_US!$A$2:$A$130)=YEAR($A10)),
    1
  ),
""""))"),0)</f>
        <v>0</v>
      </c>
      <c r="E10" s="2">
        <v>6.3609999999999998</v>
      </c>
      <c r="F10" s="2">
        <v>0.06</v>
      </c>
      <c r="G10" s="2">
        <v>593</v>
      </c>
      <c r="H10" s="2">
        <v>2071.3000000000002</v>
      </c>
      <c r="I10" s="2">
        <v>3.05</v>
      </c>
      <c r="J10" s="2">
        <v>34.6</v>
      </c>
      <c r="K10" s="2">
        <f ca="1">IFERROR(__xludf.DUMMYFUNCTION("IF($A10="""","""", IFERROR(
  INDEX(
    FILTER(IMEX_VN!$B$2:$B$130, MONTH(IMEX_VN!$A$2:$A$130)=MONTH($A10), YEAR(IMEX_VN!$A$2:$A$130)=YEAR($A10)),
    1
  ),
""""))"),-1.29999999999999)</f>
        <v>-1.2999999999999901</v>
      </c>
      <c r="L10" s="6">
        <v>98</v>
      </c>
      <c r="M10" s="7">
        <v>36.5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8">
        <v>42071</v>
      </c>
      <c r="B11" s="9">
        <v>21390</v>
      </c>
      <c r="C11" s="2">
        <v>0.1</v>
      </c>
      <c r="D11" s="2">
        <f ca="1">IFERROR(__xludf.DUMMYFUNCTION("IF($A11="""","""", IFERROR(
  INDEX(
    FILTER(CPI_US!$D$2:$D$130, MONTH(CPI_US!$A$2:$A$130)=MONTH($A11), YEAR(CPI_US!$A$2:$A$130)=YEAR($A11)),
    1
  ),
""""))"),0)</f>
        <v>0</v>
      </c>
      <c r="E11" s="2">
        <v>6.3620000000000001</v>
      </c>
      <c r="F11" s="2">
        <v>0.12</v>
      </c>
      <c r="G11" s="2">
        <v>586</v>
      </c>
      <c r="H11" s="2">
        <v>2053.4</v>
      </c>
      <c r="I11" s="2">
        <f t="shared" ref="I11:I14" si="0">I10</f>
        <v>3.05</v>
      </c>
      <c r="J11" s="2">
        <v>34.6</v>
      </c>
      <c r="K11" s="2">
        <f ca="1">IFERROR(__xludf.DUMMYFUNCTION("IF($A11="""","""", IFERROR(
  INDEX(
    FILTER(IMEX_VN!$B$2:$B$130, MONTH(IMEX_VN!$A$2:$A$130)=MONTH($A11), YEAR(IMEX_VN!$A$2:$A$130)=YEAR($A11)),
    1
  ),
""""))"),-1.29999999999999)</f>
        <v>-1.2999999999999901</v>
      </c>
      <c r="L11" s="6">
        <v>100</v>
      </c>
      <c r="M11" s="7">
        <v>36.5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8">
        <v>42078</v>
      </c>
      <c r="B12" s="9">
        <v>21495</v>
      </c>
      <c r="C12" s="2">
        <v>0.1</v>
      </c>
      <c r="D12" s="2">
        <f ca="1">IFERROR(__xludf.DUMMYFUNCTION("IF($A12="""","""", IFERROR(
  INDEX(
    FILTER(CPI_US!$D$2:$D$130, MONTH(CPI_US!$A$2:$A$130)=MONTH($A12), YEAR(CPI_US!$A$2:$A$130)=YEAR($A12)),
    1
  ),
""""))"),0)</f>
        <v>0</v>
      </c>
      <c r="E12" s="2">
        <v>6.4390000000000001</v>
      </c>
      <c r="F12" s="2">
        <v>0.11</v>
      </c>
      <c r="G12" s="2">
        <v>575</v>
      </c>
      <c r="H12" s="2">
        <v>2108.1</v>
      </c>
      <c r="I12" s="2">
        <f t="shared" si="0"/>
        <v>3.05</v>
      </c>
      <c r="J12" s="2">
        <v>34.6</v>
      </c>
      <c r="K12" s="2">
        <f ca="1">IFERROR(__xludf.DUMMYFUNCTION("IF($A12="""","""", IFERROR(
  INDEX(
    FILTER(IMEX_VN!$B$2:$B$130, MONTH(IMEX_VN!$A$2:$A$130)=MONTH($A12), YEAR(IMEX_VN!$A$2:$A$130)=YEAR($A12)),
    1
  ),
""""))"),-1.29999999999999)</f>
        <v>-1.2999999999999901</v>
      </c>
      <c r="L12" s="6">
        <v>98</v>
      </c>
      <c r="M12" s="7">
        <v>36.5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8">
        <v>42085</v>
      </c>
      <c r="B13" s="9">
        <v>21535</v>
      </c>
      <c r="C13" s="2">
        <v>0.1</v>
      </c>
      <c r="D13" s="2">
        <f ca="1">IFERROR(__xludf.DUMMYFUNCTION("IF($A13="""","""", IFERROR(
  INDEX(
    FILTER(CPI_US!$D$2:$D$130, MONTH(CPI_US!$A$2:$A$130)=MONTH($A13), YEAR(CPI_US!$A$2:$A$130)=YEAR($A13)),
    1
  ),
""""))"),0)</f>
        <v>0</v>
      </c>
      <c r="E13" s="2">
        <v>6.4829999999999997</v>
      </c>
      <c r="F13" s="2">
        <v>0.12</v>
      </c>
      <c r="G13" s="2">
        <v>551</v>
      </c>
      <c r="H13" s="2">
        <v>2061</v>
      </c>
      <c r="I13" s="2">
        <f t="shared" si="0"/>
        <v>3.05</v>
      </c>
      <c r="J13" s="2">
        <v>34.6</v>
      </c>
      <c r="K13" s="2">
        <f ca="1">IFERROR(__xludf.DUMMYFUNCTION("IF($A13="""","""", IFERROR(
  INDEX(
    FILTER(IMEX_VN!$B$2:$B$130, MONTH(IMEX_VN!$A$2:$A$130)=MONTH($A13), YEAR(IMEX_VN!$A$2:$A$130)=YEAR($A13)),
    1
  ),
""""))"),-1.29999999999999)</f>
        <v>-1.2999999999999901</v>
      </c>
      <c r="L13" s="6">
        <v>97</v>
      </c>
      <c r="M13" s="7">
        <v>36.5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8">
        <v>42092</v>
      </c>
      <c r="B14" s="9">
        <v>21595</v>
      </c>
      <c r="C14" s="2">
        <v>0.1</v>
      </c>
      <c r="D14" s="2">
        <f ca="1">IFERROR(__xludf.DUMMYFUNCTION("IF($A14="""","""", IFERROR(
  INDEX(
    FILTER(CPI_US!$D$2:$D$130, MONTH(CPI_US!$A$2:$A$130)=MONTH($A14), YEAR(CPI_US!$A$2:$A$130)=YEAR($A14)),
    1
  ),
""""))"),0)</f>
        <v>0</v>
      </c>
      <c r="E14" s="2">
        <v>6.4539999999999997</v>
      </c>
      <c r="F14" s="2">
        <v>0.12</v>
      </c>
      <c r="G14" s="2">
        <v>547</v>
      </c>
      <c r="H14" s="2">
        <v>2067</v>
      </c>
      <c r="I14" s="2">
        <f t="shared" si="0"/>
        <v>3.05</v>
      </c>
      <c r="J14" s="2">
        <v>34.6</v>
      </c>
      <c r="K14" s="2">
        <f ca="1">IFERROR(__xludf.DUMMYFUNCTION("IF($A14="""","""", IFERROR(
  INDEX(
    FILTER(IMEX_VN!$B$2:$B$130, MONTH(IMEX_VN!$A$2:$A$130)=MONTH($A14), YEAR(IMEX_VN!$A$2:$A$130)=YEAR($A14)),
    1
  ),
""""))"),-1.29999999999999)</f>
        <v>-1.2999999999999901</v>
      </c>
      <c r="L14" s="6">
        <v>97</v>
      </c>
      <c r="M14" s="7">
        <v>36.5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8">
        <v>42099</v>
      </c>
      <c r="B15" s="9">
        <v>21605</v>
      </c>
      <c r="C15" s="2">
        <v>0.1</v>
      </c>
      <c r="D15" s="2">
        <f ca="1">IFERROR(__xludf.DUMMYFUNCTION("IF($A15="""","""", IFERROR(
  INDEX(
    FILTER(CPI_US!$D$2:$D$130, MONTH(CPI_US!$A$2:$A$130)=MONTH($A15), YEAR(CPI_US!$A$2:$A$130)=YEAR($A15)),
    1
  ),
""""))"),-0.1)</f>
        <v>-0.1</v>
      </c>
      <c r="E15" s="2">
        <v>6.5510000000000002</v>
      </c>
      <c r="F15" s="2">
        <v>0.12</v>
      </c>
      <c r="G15" s="2">
        <v>554</v>
      </c>
      <c r="H15" s="2">
        <v>2102.1</v>
      </c>
      <c r="I15" s="2">
        <v>4.2</v>
      </c>
      <c r="J15" s="2">
        <v>42.7</v>
      </c>
      <c r="K15" s="2">
        <f ca="1">IFERROR(__xludf.DUMMYFUNCTION("IF($A15="""","""", IFERROR(
  INDEX(
    FILTER(IMEX_VN!$B$2:$B$130, MONTH(IMEX_VN!$A$2:$A$130)=MONTH($A15), YEAR(IMEX_VN!$A$2:$A$130)=YEAR($A15)),
    1
  ),
""""))"),0.200000000000001)</f>
        <v>0.20000000000000101</v>
      </c>
      <c r="L15" s="6">
        <v>99</v>
      </c>
      <c r="M15" s="7">
        <v>36.75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8">
        <v>42106</v>
      </c>
      <c r="B16" s="9">
        <v>21590</v>
      </c>
      <c r="C16" s="2">
        <v>0.1</v>
      </c>
      <c r="D16" s="2">
        <f ca="1">IFERROR(__xludf.DUMMYFUNCTION("IF($A16="""","""", IFERROR(
  INDEX(
    FILTER(CPI_US!$D$2:$D$130, MONTH(CPI_US!$A$2:$A$130)=MONTH($A16), YEAR(CPI_US!$A$2:$A$130)=YEAR($A16)),
    1
  ),
""""))"),-0.1)</f>
        <v>-0.1</v>
      </c>
      <c r="E16" s="2">
        <v>6.5510000000000002</v>
      </c>
      <c r="F16" s="2">
        <v>0.12</v>
      </c>
      <c r="G16" s="2">
        <v>568</v>
      </c>
      <c r="H16" s="2">
        <v>2081.1999999999998</v>
      </c>
      <c r="I16" s="2">
        <f t="shared" ref="I16:I18" si="1">I15</f>
        <v>4.2</v>
      </c>
      <c r="J16" s="2">
        <v>42.7</v>
      </c>
      <c r="K16" s="2">
        <f ca="1">IFERROR(__xludf.DUMMYFUNCTION("IF($A16="""","""", IFERROR(
  INDEX(
    FILTER(IMEX_VN!$B$2:$B$130, MONTH(IMEX_VN!$A$2:$A$130)=MONTH($A16), YEAR(IMEX_VN!$A$2:$A$130)=YEAR($A16)),
    1
  ),
""""))"),0.200000000000001)</f>
        <v>0.20000000000000101</v>
      </c>
      <c r="L16" s="6">
        <v>98</v>
      </c>
      <c r="M16" s="7">
        <v>36.75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8">
        <v>42113</v>
      </c>
      <c r="B17" s="9">
        <v>21595</v>
      </c>
      <c r="C17" s="2">
        <v>0.1</v>
      </c>
      <c r="D17" s="2">
        <f ca="1">IFERROR(__xludf.DUMMYFUNCTION("IF($A17="""","""", IFERROR(
  INDEX(
    FILTER(CPI_US!$D$2:$D$130, MONTH(CPI_US!$A$2:$A$130)=MONTH($A17), YEAR(CPI_US!$A$2:$A$130)=YEAR($A17)),
    1
  ),
""""))"),-0.1)</f>
        <v>-0.1</v>
      </c>
      <c r="E17" s="2">
        <v>6.6310000000000002</v>
      </c>
      <c r="F17" s="2">
        <v>0.13</v>
      </c>
      <c r="G17" s="2">
        <v>565</v>
      </c>
      <c r="H17" s="2">
        <v>2117.6999999999998</v>
      </c>
      <c r="I17" s="2">
        <f t="shared" si="1"/>
        <v>4.2</v>
      </c>
      <c r="J17" s="2">
        <v>42.7</v>
      </c>
      <c r="K17" s="2">
        <f ca="1">IFERROR(__xludf.DUMMYFUNCTION("IF($A17="""","""", IFERROR(
  INDEX(
    FILTER(IMEX_VN!$B$2:$B$130, MONTH(IMEX_VN!$A$2:$A$130)=MONTH($A17), YEAR(IMEX_VN!$A$2:$A$130)=YEAR($A17)),
    1
  ),
""""))"),0.200000000000001)</f>
        <v>0.20000000000000101</v>
      </c>
      <c r="L17" s="6">
        <v>97</v>
      </c>
      <c r="M17" s="7">
        <v>36.75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8">
        <v>42120</v>
      </c>
      <c r="B18" s="9">
        <v>21590</v>
      </c>
      <c r="C18" s="2">
        <v>0.1</v>
      </c>
      <c r="D18" s="2">
        <f ca="1">IFERROR(__xludf.DUMMYFUNCTION("IF($A18="""","""", IFERROR(
  INDEX(
    FILTER(CPI_US!$D$2:$D$130, MONTH(CPI_US!$A$2:$A$130)=MONTH($A18), YEAR(CPI_US!$A$2:$A$130)=YEAR($A18)),
    1
  ),
""""))"),-0.1)</f>
        <v>-0.1</v>
      </c>
      <c r="E18" s="2">
        <v>6.4930000000000003</v>
      </c>
      <c r="F18" s="2">
        <v>0.13</v>
      </c>
      <c r="G18" s="2">
        <v>562</v>
      </c>
      <c r="H18" s="2">
        <v>2108.3000000000002</v>
      </c>
      <c r="I18" s="2">
        <f t="shared" si="1"/>
        <v>4.2</v>
      </c>
      <c r="J18" s="2">
        <v>42.7</v>
      </c>
      <c r="K18" s="2">
        <f ca="1">IFERROR(__xludf.DUMMYFUNCTION("IF($A18="""","""", IFERROR(
  INDEX(
    FILTER(IMEX_VN!$B$2:$B$130, MONTH(IMEX_VN!$A$2:$A$130)=MONTH($A18), YEAR(IMEX_VN!$A$2:$A$130)=YEAR($A18)),
    1
  ),
""""))"),0.200000000000001)</f>
        <v>0.20000000000000101</v>
      </c>
      <c r="L18" s="6">
        <v>95</v>
      </c>
      <c r="M18" s="7">
        <v>36.75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8">
        <v>42127</v>
      </c>
      <c r="B19" s="9">
        <v>21680</v>
      </c>
      <c r="C19" s="2">
        <v>0.2</v>
      </c>
      <c r="D19" s="2">
        <f ca="1">IFERROR(__xludf.DUMMYFUNCTION("IF($A19="""","""", IFERROR(
  INDEX(
    FILTER(CPI_US!$D$2:$D$130, MONTH(CPI_US!$A$2:$A$130)=MONTH($A19), YEAR(CPI_US!$A$2:$A$130)=YEAR($A19)),
    1
  ),
""""))"),-0.2)</f>
        <v>-0.2</v>
      </c>
      <c r="E19" s="2">
        <v>6.5069999999999997</v>
      </c>
      <c r="F19" s="2">
        <v>0.13</v>
      </c>
      <c r="G19" s="2">
        <v>554</v>
      </c>
      <c r="H19" s="2">
        <v>2116.1</v>
      </c>
      <c r="I19" s="2">
        <v>4.95</v>
      </c>
      <c r="J19" s="2">
        <v>42.7</v>
      </c>
      <c r="K19" s="2">
        <f ca="1">IFERROR(__xludf.DUMMYFUNCTION("IF($A19="""","""", IFERROR(
  INDEX(
    FILTER(IMEX_VN!$B$2:$B$130, MONTH(IMEX_VN!$A$2:$A$130)=MONTH($A19), YEAR(IMEX_VN!$A$2:$A$130)=YEAR($A19)),
    1
  ),
""""))"),-1.2)</f>
        <v>-1.2</v>
      </c>
      <c r="L19" s="6">
        <v>95</v>
      </c>
      <c r="M19" s="7">
        <v>36.9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8">
        <v>42134</v>
      </c>
      <c r="B20" s="9">
        <v>21765</v>
      </c>
      <c r="C20" s="2">
        <v>0.2</v>
      </c>
      <c r="D20" s="2">
        <f ca="1">IFERROR(__xludf.DUMMYFUNCTION("IF($A20="""","""", IFERROR(
  INDEX(
    FILTER(CPI_US!$D$2:$D$130, MONTH(CPI_US!$A$2:$A$130)=MONTH($A20), YEAR(CPI_US!$A$2:$A$130)=YEAR($A20)),
    1
  ),
""""))"),-0.2)</f>
        <v>-0.2</v>
      </c>
      <c r="E20" s="2">
        <v>6.54</v>
      </c>
      <c r="F20" s="2">
        <v>0.13</v>
      </c>
      <c r="G20" s="2">
        <v>537</v>
      </c>
      <c r="H20" s="2">
        <v>2122.6999999999998</v>
      </c>
      <c r="I20" s="2">
        <f t="shared" ref="I20:I23" si="2">I19</f>
        <v>4.95</v>
      </c>
      <c r="J20" s="2">
        <v>42.7</v>
      </c>
      <c r="K20" s="2">
        <f ca="1">IFERROR(__xludf.DUMMYFUNCTION("IF($A20="""","""", IFERROR(
  INDEX(
    FILTER(IMEX_VN!$B$2:$B$130, MONTH(IMEX_VN!$A$2:$A$130)=MONTH($A20), YEAR(IMEX_VN!$A$2:$A$130)=YEAR($A20)),
    1
  ),
""""))"),-1.2)</f>
        <v>-1.2</v>
      </c>
      <c r="L20" s="6">
        <v>93</v>
      </c>
      <c r="M20" s="7">
        <v>36.9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8">
        <v>42141</v>
      </c>
      <c r="B21" s="9">
        <v>21805</v>
      </c>
      <c r="C21" s="2">
        <v>0.2</v>
      </c>
      <c r="D21" s="2">
        <f ca="1">IFERROR(__xludf.DUMMYFUNCTION("IF($A21="""","""", IFERROR(
  INDEX(
    FILTER(CPI_US!$D$2:$D$130, MONTH(CPI_US!$A$2:$A$130)=MONTH($A21), YEAR(CPI_US!$A$2:$A$130)=YEAR($A21)),
    1
  ),
""""))"),-0.2)</f>
        <v>-0.2</v>
      </c>
      <c r="E21" s="2">
        <v>6.5389999999999997</v>
      </c>
      <c r="F21" s="2">
        <v>0.13</v>
      </c>
      <c r="G21" s="2">
        <v>561</v>
      </c>
      <c r="H21" s="2">
        <v>2126.1</v>
      </c>
      <c r="I21" s="2">
        <f t="shared" si="2"/>
        <v>4.95</v>
      </c>
      <c r="J21" s="2">
        <v>42.7</v>
      </c>
      <c r="K21" s="2">
        <f ca="1">IFERROR(__xludf.DUMMYFUNCTION("IF($A21="""","""", IFERROR(
  INDEX(
    FILTER(IMEX_VN!$B$2:$B$130, MONTH(IMEX_VN!$A$2:$A$130)=MONTH($A21), YEAR(IMEX_VN!$A$2:$A$130)=YEAR($A21)),
    1
  ),
""""))"),-1.2)</f>
        <v>-1.2</v>
      </c>
      <c r="L21" s="6">
        <v>96</v>
      </c>
      <c r="M21" s="7">
        <v>36.9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8">
        <v>42148</v>
      </c>
      <c r="B22" s="9">
        <v>21815</v>
      </c>
      <c r="C22" s="2">
        <v>0.2</v>
      </c>
      <c r="D22" s="2">
        <f ca="1">IFERROR(__xludf.DUMMYFUNCTION("IF($A22="""","""", IFERROR(
  INDEX(
    FILTER(CPI_US!$D$2:$D$130, MONTH(CPI_US!$A$2:$A$130)=MONTH($A22), YEAR(CPI_US!$A$2:$A$130)=YEAR($A22)),
    1
  ),
""""))"),-0.2)</f>
        <v>-0.2</v>
      </c>
      <c r="E22" s="2">
        <v>6.5380000000000003</v>
      </c>
      <c r="F22" s="2">
        <v>0.13</v>
      </c>
      <c r="G22" s="2">
        <v>569</v>
      </c>
      <c r="H22" s="2">
        <v>2107.4</v>
      </c>
      <c r="I22" s="2">
        <f t="shared" si="2"/>
        <v>4.95</v>
      </c>
      <c r="J22" s="2">
        <v>42.7</v>
      </c>
      <c r="K22" s="2">
        <f ca="1">IFERROR(__xludf.DUMMYFUNCTION("IF($A22="""","""", IFERROR(
  INDEX(
    FILTER(IMEX_VN!$B$2:$B$130, MONTH(IMEX_VN!$A$2:$A$130)=MONTH($A22), YEAR(IMEX_VN!$A$2:$A$130)=YEAR($A22)),
    1
  ),
""""))"),-1.2)</f>
        <v>-1.2</v>
      </c>
      <c r="L22" s="6">
        <v>97</v>
      </c>
      <c r="M22" s="7">
        <v>36.9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8">
        <v>42155</v>
      </c>
      <c r="B23" s="9">
        <v>21812</v>
      </c>
      <c r="C23" s="2">
        <v>0.2</v>
      </c>
      <c r="D23" s="2">
        <f ca="1">IFERROR(__xludf.DUMMYFUNCTION("IF($A23="""","""", IFERROR(
  INDEX(
    FILTER(CPI_US!$D$2:$D$130, MONTH(CPI_US!$A$2:$A$130)=MONTH($A23), YEAR(CPI_US!$A$2:$A$130)=YEAR($A23)),
    1
  ),
""""))"),-0.2)</f>
        <v>-0.2</v>
      </c>
      <c r="E23" s="2">
        <v>6.5359999999999996</v>
      </c>
      <c r="F23" s="2">
        <v>0.08</v>
      </c>
      <c r="G23" s="2">
        <v>578</v>
      </c>
      <c r="H23" s="2">
        <v>2092.8000000000002</v>
      </c>
      <c r="I23" s="2">
        <f t="shared" si="2"/>
        <v>4.95</v>
      </c>
      <c r="J23" s="2">
        <v>42.7</v>
      </c>
      <c r="K23" s="2">
        <f ca="1">IFERROR(__xludf.DUMMYFUNCTION("IF($A23="""","""", IFERROR(
  INDEX(
    FILTER(IMEX_VN!$B$2:$B$130, MONTH(IMEX_VN!$A$2:$A$130)=MONTH($A23), YEAR(IMEX_VN!$A$2:$A$130)=YEAR($A23)),
    1
  ),
""""))"),-1.2)</f>
        <v>-1.2</v>
      </c>
      <c r="L23" s="6">
        <v>96</v>
      </c>
      <c r="M23" s="7">
        <v>36.9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8">
        <v>42162</v>
      </c>
      <c r="B24" s="9">
        <v>21800</v>
      </c>
      <c r="C24" s="2">
        <v>0.4</v>
      </c>
      <c r="D24" s="2">
        <f ca="1">IFERROR(__xludf.DUMMYFUNCTION("IF($A24="""","""", IFERROR(
  INDEX(
    FILTER(CPI_US!$D$2:$D$130, MONTH(CPI_US!$A$2:$A$130)=MONTH($A24), YEAR(CPI_US!$A$2:$A$130)=YEAR($A24)),
    1
  ),
""""))"),0)</f>
        <v>0</v>
      </c>
      <c r="E24" s="2">
        <v>6.6630000000000003</v>
      </c>
      <c r="F24" s="2">
        <v>0.13</v>
      </c>
      <c r="G24" s="2">
        <v>582</v>
      </c>
      <c r="H24" s="2">
        <v>2094.1</v>
      </c>
      <c r="I24" s="2">
        <v>6.3</v>
      </c>
      <c r="J24" s="2">
        <v>42.7</v>
      </c>
      <c r="K24" s="2">
        <f ca="1">IFERROR(__xludf.DUMMYFUNCTION("IF($A24="""","""", IFERROR(
  INDEX(
    FILTER(IMEX_VN!$B$2:$B$130, MONTH(IMEX_VN!$A$2:$A$130)=MONTH($A24), YEAR(IMEX_VN!$A$2:$A$130)=YEAR($A24)),
    1
  ),
""""))"),-0.199999999999999)</f>
        <v>-0.19999999999999901</v>
      </c>
      <c r="L24" s="6">
        <v>95</v>
      </c>
      <c r="M24" s="7">
        <v>37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8">
        <v>42169</v>
      </c>
      <c r="B25" s="9">
        <v>21805</v>
      </c>
      <c r="C25" s="2">
        <v>0.4</v>
      </c>
      <c r="D25" s="2">
        <f ca="1">IFERROR(__xludf.DUMMYFUNCTION("IF($A25="""","""", IFERROR(
  INDEX(
    FILTER(CPI_US!$D$2:$D$130, MONTH(CPI_US!$A$2:$A$130)=MONTH($A25), YEAR(CPI_US!$A$2:$A$130)=YEAR($A25)),
    1
  ),
""""))"),0)</f>
        <v>0</v>
      </c>
      <c r="E25" s="2">
        <v>6.8479999999999999</v>
      </c>
      <c r="F25" s="2">
        <v>0.13</v>
      </c>
      <c r="G25" s="2">
        <v>584</v>
      </c>
      <c r="H25" s="2">
        <v>2110</v>
      </c>
      <c r="I25" s="2">
        <f t="shared" ref="I25:I31" si="3">I24</f>
        <v>6.3</v>
      </c>
      <c r="J25" s="2">
        <v>42.7</v>
      </c>
      <c r="K25" s="2">
        <f ca="1">IFERROR(__xludf.DUMMYFUNCTION("IF($A25="""","""", IFERROR(
  INDEX(
    FILTER(IMEX_VN!$B$2:$B$130, MONTH(IMEX_VN!$A$2:$A$130)=MONTH($A25), YEAR(IMEX_VN!$A$2:$A$130)=YEAR($A25)),
    1
  ),
""""))"),-0.199999999999999)</f>
        <v>-0.19999999999999901</v>
      </c>
      <c r="L25" s="6">
        <v>94</v>
      </c>
      <c r="M25" s="7">
        <v>37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8">
        <v>42176</v>
      </c>
      <c r="B26" s="9">
        <v>21838</v>
      </c>
      <c r="C26" s="2">
        <v>0.4</v>
      </c>
      <c r="D26" s="2">
        <f ca="1">IFERROR(__xludf.DUMMYFUNCTION("IF($A26="""","""", IFERROR(
  INDEX(
    FILTER(CPI_US!$D$2:$D$130, MONTH(CPI_US!$A$2:$A$130)=MONTH($A26), YEAR(CPI_US!$A$2:$A$130)=YEAR($A26)),
    1
  ),
""""))"),0)</f>
        <v>0</v>
      </c>
      <c r="E26" s="2">
        <v>6.7960000000000003</v>
      </c>
      <c r="F26" s="2">
        <v>0.13</v>
      </c>
      <c r="G26" s="2">
        <v>581</v>
      </c>
      <c r="H26" s="2">
        <v>2101.5</v>
      </c>
      <c r="I26" s="2">
        <f t="shared" si="3"/>
        <v>6.3</v>
      </c>
      <c r="J26" s="2">
        <v>42.7</v>
      </c>
      <c r="K26" s="2">
        <f ca="1">IFERROR(__xludf.DUMMYFUNCTION("IF($A26="""","""", IFERROR(
  INDEX(
    FILTER(IMEX_VN!$B$2:$B$130, MONTH(IMEX_VN!$A$2:$A$130)=MONTH($A26), YEAR(IMEX_VN!$A$2:$A$130)=YEAR($A26)),
    1
  ),
""""))"),-0.199999999999999)</f>
        <v>-0.19999999999999901</v>
      </c>
      <c r="L26" s="6">
        <v>95</v>
      </c>
      <c r="M26" s="7">
        <v>37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8">
        <v>42183</v>
      </c>
      <c r="B27" s="9">
        <v>21805</v>
      </c>
      <c r="C27" s="2">
        <v>0.4</v>
      </c>
      <c r="D27" s="2">
        <f ca="1">IFERROR(__xludf.DUMMYFUNCTION("IF($A27="""","""", IFERROR(
  INDEX(
    FILTER(CPI_US!$D$2:$D$130, MONTH(CPI_US!$A$2:$A$130)=MONTH($A27), YEAR(CPI_US!$A$2:$A$130)=YEAR($A27)),
    1
  ),
""""))"),0)</f>
        <v>0</v>
      </c>
      <c r="E27" s="2">
        <v>6.7590000000000003</v>
      </c>
      <c r="F27" s="2">
        <v>0.13</v>
      </c>
      <c r="G27" s="2">
        <v>616</v>
      </c>
      <c r="H27" s="2">
        <v>2076.8000000000002</v>
      </c>
      <c r="I27" s="2">
        <f t="shared" si="3"/>
        <v>6.3</v>
      </c>
      <c r="J27" s="2">
        <v>42.7</v>
      </c>
      <c r="K27" s="2">
        <f ca="1">IFERROR(__xludf.DUMMYFUNCTION("IF($A27="""","""", IFERROR(
  INDEX(
    FILTER(IMEX_VN!$B$2:$B$130, MONTH(IMEX_VN!$A$2:$A$130)=MONTH($A27), YEAR(IMEX_VN!$A$2:$A$130)=YEAR($A27)),
    1
  ),
""""))"),-0.199999999999999)</f>
        <v>-0.19999999999999901</v>
      </c>
      <c r="L27" s="6">
        <v>96</v>
      </c>
      <c r="M27" s="7">
        <v>37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8">
        <v>42190</v>
      </c>
      <c r="B28" s="9">
        <v>21810</v>
      </c>
      <c r="C28" s="2">
        <v>0.1</v>
      </c>
      <c r="D28" s="2">
        <f ca="1">IFERROR(__xludf.DUMMYFUNCTION("IF($A28="""","""", IFERROR(
  INDEX(
    FILTER(CPI_US!$D$2:$D$130, MONTH(CPI_US!$A$2:$A$130)=MONTH($A28), YEAR(CPI_US!$A$2:$A$130)=YEAR($A28)),
    1
  ),
""""))"),0.1)</f>
        <v>0.1</v>
      </c>
      <c r="E28" s="2">
        <v>6.7359999999999998</v>
      </c>
      <c r="F28" s="2">
        <v>0.13</v>
      </c>
      <c r="G28" s="2">
        <v>627</v>
      </c>
      <c r="H28" s="2">
        <v>2076.6</v>
      </c>
      <c r="I28" s="2">
        <f t="shared" si="3"/>
        <v>6.3</v>
      </c>
      <c r="J28" s="2">
        <v>43.2</v>
      </c>
      <c r="K28" s="2">
        <f ca="1">IFERROR(__xludf.DUMMYFUNCTION("IF($A28="""","""", IFERROR(
  INDEX(
    FILTER(IMEX_VN!$B$2:$B$130, MONTH(IMEX_VN!$A$2:$A$130)=MONTH($A28), YEAR(IMEX_VN!$A$2:$A$130)=YEAR($A28)),
    1
  ),
""""))"),-0.5)</f>
        <v>-0.5</v>
      </c>
      <c r="L28" s="6">
        <v>96</v>
      </c>
      <c r="M28" s="7">
        <v>36.5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8">
        <v>42197</v>
      </c>
      <c r="B29" s="9">
        <v>21818</v>
      </c>
      <c r="C29" s="2">
        <v>0.1</v>
      </c>
      <c r="D29" s="2">
        <f ca="1">IFERROR(__xludf.DUMMYFUNCTION("IF($A29="""","""", IFERROR(
  INDEX(
    FILTER(CPI_US!$D$2:$D$130, MONTH(CPI_US!$A$2:$A$130)=MONTH($A29), YEAR(CPI_US!$A$2:$A$130)=YEAR($A29)),
    1
  ),
""""))"),0.1)</f>
        <v>0.1</v>
      </c>
      <c r="E29" s="2">
        <v>6.7629999999999999</v>
      </c>
      <c r="F29" s="2">
        <v>0.13</v>
      </c>
      <c r="G29" s="2">
        <v>628</v>
      </c>
      <c r="H29" s="2">
        <v>2126.6</v>
      </c>
      <c r="I29" s="2">
        <f t="shared" si="3"/>
        <v>6.3</v>
      </c>
      <c r="J29" s="2">
        <v>43.2</v>
      </c>
      <c r="K29" s="2">
        <f ca="1">IFERROR(__xludf.DUMMYFUNCTION("IF($A29="""","""", IFERROR(
  INDEX(
    FILTER(IMEX_VN!$B$2:$B$130, MONTH(IMEX_VN!$A$2:$A$130)=MONTH($A29), YEAR(IMEX_VN!$A$2:$A$130)=YEAR($A29)),
    1
  ),
""""))"),-0.5)</f>
        <v>-0.5</v>
      </c>
      <c r="L29" s="6">
        <v>98</v>
      </c>
      <c r="M29" s="7">
        <v>36.5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8">
        <v>42204</v>
      </c>
      <c r="B30" s="9">
        <v>21825</v>
      </c>
      <c r="C30" s="2">
        <v>0.1</v>
      </c>
      <c r="D30" s="2">
        <f ca="1">IFERROR(__xludf.DUMMYFUNCTION("IF($A30="""","""", IFERROR(
  INDEX(
    FILTER(CPI_US!$D$2:$D$130, MONTH(CPI_US!$A$2:$A$130)=MONTH($A30), YEAR(CPI_US!$A$2:$A$130)=YEAR($A30)),
    1
  ),
""""))"),0.1)</f>
        <v>0.1</v>
      </c>
      <c r="E30" s="2">
        <v>6.7690000000000001</v>
      </c>
      <c r="F30" s="2">
        <v>0.13</v>
      </c>
      <c r="G30" s="2">
        <v>631</v>
      </c>
      <c r="H30" s="2">
        <v>2079.6999999999998</v>
      </c>
      <c r="I30" s="2">
        <f t="shared" si="3"/>
        <v>6.3</v>
      </c>
      <c r="J30" s="2">
        <v>43.2</v>
      </c>
      <c r="K30" s="2">
        <f ca="1">IFERROR(__xludf.DUMMYFUNCTION("IF($A30="""","""", IFERROR(
  INDEX(
    FILTER(IMEX_VN!$B$2:$B$130, MONTH(IMEX_VN!$A$2:$A$130)=MONTH($A30), YEAR(IMEX_VN!$A$2:$A$130)=YEAR($A30)),
    1
  ),
""""))"),-0.5)</f>
        <v>-0.5</v>
      </c>
      <c r="L30" s="6">
        <v>97</v>
      </c>
      <c r="M30" s="7">
        <v>36.5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8">
        <v>42211</v>
      </c>
      <c r="B31" s="9">
        <v>21818</v>
      </c>
      <c r="C31" s="2">
        <v>0.1</v>
      </c>
      <c r="D31" s="2">
        <f ca="1">IFERROR(__xludf.DUMMYFUNCTION("IF($A31="""","""", IFERROR(
  INDEX(
    FILTER(CPI_US!$D$2:$D$130, MONTH(CPI_US!$A$2:$A$130)=MONTH($A31), YEAR(CPI_US!$A$2:$A$130)=YEAR($A31)),
    1
  ),
""""))"),0.1)</f>
        <v>0.1</v>
      </c>
      <c r="E31" s="2">
        <v>6.7759999999999998</v>
      </c>
      <c r="F31" s="2">
        <v>0.13</v>
      </c>
      <c r="G31" s="2">
        <v>621</v>
      </c>
      <c r="H31" s="2">
        <v>2103.8000000000002</v>
      </c>
      <c r="I31" s="2">
        <f t="shared" si="3"/>
        <v>6.3</v>
      </c>
      <c r="J31" s="2">
        <v>43.2</v>
      </c>
      <c r="K31" s="2">
        <f ca="1">IFERROR(__xludf.DUMMYFUNCTION("IF($A31="""","""", IFERROR(
  INDEX(
    FILTER(IMEX_VN!$B$2:$B$130, MONTH(IMEX_VN!$A$2:$A$130)=MONTH($A31), YEAR(IMEX_VN!$A$2:$A$130)=YEAR($A31)),
    1
  ),
""""))"),-0.5)</f>
        <v>-0.5</v>
      </c>
      <c r="L31" s="6">
        <v>97</v>
      </c>
      <c r="M31" s="7">
        <v>36.5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8">
        <v>42218</v>
      </c>
      <c r="B32" s="9">
        <v>21815</v>
      </c>
      <c r="C32" s="2">
        <v>-0.1</v>
      </c>
      <c r="D32" s="2">
        <f ca="1">IFERROR(__xludf.DUMMYFUNCTION("IF($A32="""","""", IFERROR(
  INDEX(
    FILTER(CPI_US!$D$2:$D$130, MONTH(CPI_US!$A$2:$A$130)=MONTH($A32), YEAR(CPI_US!$A$2:$A$130)=YEAR($A32)),
    1
  ),
""""))"),0.2)</f>
        <v>0.2</v>
      </c>
      <c r="E32" s="2">
        <v>6.7750000000000004</v>
      </c>
      <c r="F32" s="2">
        <v>0.08</v>
      </c>
      <c r="G32" s="2">
        <v>603</v>
      </c>
      <c r="H32" s="2">
        <v>2077.6</v>
      </c>
      <c r="I32" s="2">
        <v>8.5</v>
      </c>
      <c r="J32" s="2">
        <v>43.2</v>
      </c>
      <c r="K32" s="2">
        <f ca="1">IFERROR(__xludf.DUMMYFUNCTION("IF($A32="""","""", IFERROR(
  INDEX(
    FILTER(IMEX_VN!$B$2:$B$130, MONTH(IMEX_VN!$A$2:$A$130)=MONTH($A32), YEAR(IMEX_VN!$A$2:$A$130)=YEAR($A32)),
    1
  ),
""""))"),0.4)</f>
        <v>0.4</v>
      </c>
      <c r="L32" s="6">
        <v>98</v>
      </c>
      <c r="M32" s="7">
        <v>32.5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8">
        <v>42225</v>
      </c>
      <c r="B33" s="9">
        <v>22103</v>
      </c>
      <c r="C33" s="2">
        <v>-0.1</v>
      </c>
      <c r="D33" s="2">
        <f ca="1">IFERROR(__xludf.DUMMYFUNCTION("IF($A33="""","""", IFERROR(
  INDEX(
    FILTER(CPI_US!$D$2:$D$130, MONTH(CPI_US!$A$2:$A$130)=MONTH($A33), YEAR(CPI_US!$A$2:$A$130)=YEAR($A33)),
    1
  ),
""""))"),0.2)</f>
        <v>0.2</v>
      </c>
      <c r="E33" s="2">
        <v>6.8739999999999997</v>
      </c>
      <c r="F33" s="2">
        <v>0.14000000000000001</v>
      </c>
      <c r="G33" s="2">
        <v>589</v>
      </c>
      <c r="H33" s="2">
        <v>2091.5</v>
      </c>
      <c r="I33" s="2">
        <f t="shared" ref="I33:I36" si="4">I32</f>
        <v>8.5</v>
      </c>
      <c r="J33" s="2">
        <v>43.2</v>
      </c>
      <c r="K33" s="2">
        <f ca="1">IFERROR(__xludf.DUMMYFUNCTION("IF($A33="""","""", IFERROR(
  INDEX(
    FILTER(IMEX_VN!$B$2:$B$130, MONTH(IMEX_VN!$A$2:$A$130)=MONTH($A33), YEAR(IMEX_VN!$A$2:$A$130)=YEAR($A33)),
    1
  ),
""""))"),0.4)</f>
        <v>0.4</v>
      </c>
      <c r="L33" s="6">
        <v>97</v>
      </c>
      <c r="M33" s="7">
        <v>32.5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8">
        <v>42232</v>
      </c>
      <c r="B34" s="9">
        <v>22518</v>
      </c>
      <c r="C34" s="2">
        <v>-0.1</v>
      </c>
      <c r="D34" s="2">
        <f ca="1">IFERROR(__xludf.DUMMYFUNCTION("IF($A34="""","""", IFERROR(
  INDEX(
    FILTER(CPI_US!$D$2:$D$130, MONTH(CPI_US!$A$2:$A$130)=MONTH($A34), YEAR(CPI_US!$A$2:$A$130)=YEAR($A34)),
    1
  ),
""""))"),0.2)</f>
        <v>0.2</v>
      </c>
      <c r="E34" s="2">
        <v>6.9180000000000001</v>
      </c>
      <c r="F34" s="2">
        <v>0.14000000000000001</v>
      </c>
      <c r="G34" s="2">
        <v>556</v>
      </c>
      <c r="H34" s="2">
        <v>1970.9</v>
      </c>
      <c r="I34" s="2">
        <f t="shared" si="4"/>
        <v>8.5</v>
      </c>
      <c r="J34" s="2">
        <v>43.2</v>
      </c>
      <c r="K34" s="2">
        <f ca="1">IFERROR(__xludf.DUMMYFUNCTION("IF($A34="""","""", IFERROR(
  INDEX(
    FILTER(IMEX_VN!$B$2:$B$130, MONTH(IMEX_VN!$A$2:$A$130)=MONTH($A34), YEAR(IMEX_VN!$A$2:$A$130)=YEAR($A34)),
    1
  ),
""""))"),0.4)</f>
        <v>0.4</v>
      </c>
      <c r="L34" s="6">
        <v>95</v>
      </c>
      <c r="M34" s="7">
        <v>32.5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8">
        <v>42239</v>
      </c>
      <c r="B35" s="9">
        <v>22462</v>
      </c>
      <c r="C35" s="2">
        <v>-0.1</v>
      </c>
      <c r="D35" s="2">
        <f ca="1">IFERROR(__xludf.DUMMYFUNCTION("IF($A35="""","""", IFERROR(
  INDEX(
    FILTER(CPI_US!$D$2:$D$130, MONTH(CPI_US!$A$2:$A$130)=MONTH($A35), YEAR(CPI_US!$A$2:$A$130)=YEAR($A35)),
    1
  ),
""""))"),0.2)</f>
        <v>0.2</v>
      </c>
      <c r="E35" s="2">
        <v>7.0309999999999997</v>
      </c>
      <c r="F35" s="2">
        <v>0.15</v>
      </c>
      <c r="G35" s="2">
        <v>570</v>
      </c>
      <c r="H35" s="2">
        <v>1988.9</v>
      </c>
      <c r="I35" s="2">
        <f t="shared" si="4"/>
        <v>8.5</v>
      </c>
      <c r="J35" s="2">
        <v>43.2</v>
      </c>
      <c r="K35" s="2">
        <f ca="1">IFERROR(__xludf.DUMMYFUNCTION("IF($A35="""","""", IFERROR(
  INDEX(
    FILTER(IMEX_VN!$B$2:$B$130, MONTH(IMEX_VN!$A$2:$A$130)=MONTH($A35), YEAR(IMEX_VN!$A$2:$A$130)=YEAR($A35)),
    1
  ),
""""))"),0.4)</f>
        <v>0.4</v>
      </c>
      <c r="L35" s="6">
        <v>96</v>
      </c>
      <c r="M35" s="7">
        <v>32.5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8">
        <v>42246</v>
      </c>
      <c r="B36" s="9">
        <v>22472</v>
      </c>
      <c r="C36" s="2">
        <v>-0.1</v>
      </c>
      <c r="D36" s="2">
        <f ca="1">IFERROR(__xludf.DUMMYFUNCTION("IF($A36="""","""", IFERROR(
  INDEX(
    FILTER(CPI_US!$D$2:$D$130, MONTH(CPI_US!$A$2:$A$130)=MONTH($A36), YEAR(CPI_US!$A$2:$A$130)=YEAR($A36)),
    1
  ),
""""))"),0.2)</f>
        <v>0.2</v>
      </c>
      <c r="E36" s="2">
        <v>7.0030000000000001</v>
      </c>
      <c r="F36" s="2">
        <v>0.14000000000000001</v>
      </c>
      <c r="G36" s="2">
        <v>556</v>
      </c>
      <c r="H36" s="2">
        <v>1921.2</v>
      </c>
      <c r="I36" s="2">
        <f t="shared" si="4"/>
        <v>8.5</v>
      </c>
      <c r="J36" s="2">
        <v>43.2</v>
      </c>
      <c r="K36" s="2">
        <f ca="1">IFERROR(__xludf.DUMMYFUNCTION("IF($A36="""","""", IFERROR(
  INDEX(
    FILTER(IMEX_VN!$B$2:$B$130, MONTH(IMEX_VN!$A$2:$A$130)=MONTH($A36), YEAR(IMEX_VN!$A$2:$A$130)=YEAR($A36)),
    1
  ),
""""))"),0.4)</f>
        <v>0.4</v>
      </c>
      <c r="L36" s="6">
        <v>96</v>
      </c>
      <c r="M36" s="7">
        <v>32.5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8">
        <v>42253</v>
      </c>
      <c r="B37" s="9">
        <v>22544</v>
      </c>
      <c r="C37" s="2">
        <v>-0.2</v>
      </c>
      <c r="D37" s="2">
        <f ca="1">IFERROR(__xludf.DUMMYFUNCTION("IF($A37="""","""", IFERROR(
  INDEX(
    FILTER(CPI_US!$D$2:$D$130, MONTH(CPI_US!$A$2:$A$130)=MONTH($A37), YEAR(CPI_US!$A$2:$A$130)=YEAR($A37)),
    1
  ),
""""))"),0.2)</f>
        <v>0.2</v>
      </c>
      <c r="E37" s="2">
        <v>7.0270000000000001</v>
      </c>
      <c r="F37" s="2">
        <v>0.14000000000000001</v>
      </c>
      <c r="G37" s="2">
        <v>566</v>
      </c>
      <c r="H37" s="2">
        <v>1961</v>
      </c>
      <c r="I37" s="2">
        <v>9.6999999999999993</v>
      </c>
      <c r="J37" s="2">
        <v>43.2</v>
      </c>
      <c r="K37" s="2">
        <f ca="1">IFERROR(__xludf.DUMMYFUNCTION("IF($A37="""","""", IFERROR(
  INDEX(
    FILTER(IMEX_VN!$B$2:$B$130, MONTH(IMEX_VN!$A$2:$A$130)=MONTH($A37), YEAR(IMEX_VN!$A$2:$A$130)=YEAR($A37)),
    1
  ),
""""))"),-0.199999999999999)</f>
        <v>-0.19999999999999901</v>
      </c>
      <c r="L37" s="6">
        <v>95</v>
      </c>
      <c r="M37" s="7">
        <v>30.3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8">
        <v>42260</v>
      </c>
      <c r="B38" s="9">
        <v>22509</v>
      </c>
      <c r="C38" s="2">
        <v>-0.2</v>
      </c>
      <c r="D38" s="2">
        <f ca="1">IFERROR(__xludf.DUMMYFUNCTION("IF($A38="""","""", IFERROR(
  INDEX(
    FILTER(CPI_US!$D$2:$D$130, MONTH(CPI_US!$A$2:$A$130)=MONTH($A38), YEAR(CPI_US!$A$2:$A$130)=YEAR($A38)),
    1
  ),
""""))"),0.2)</f>
        <v>0.2</v>
      </c>
      <c r="E38" s="2">
        <v>7.0709999999999997</v>
      </c>
      <c r="F38" s="2">
        <v>0.14000000000000001</v>
      </c>
      <c r="G38" s="2">
        <v>566</v>
      </c>
      <c r="H38" s="2">
        <v>1958</v>
      </c>
      <c r="I38" s="2">
        <f t="shared" ref="I38:I40" si="5">I37</f>
        <v>9.6999999999999993</v>
      </c>
      <c r="J38" s="2">
        <v>43.2</v>
      </c>
      <c r="K38" s="2">
        <f ca="1">IFERROR(__xludf.DUMMYFUNCTION("IF($A38="""","""", IFERROR(
  INDEX(
    FILTER(IMEX_VN!$B$2:$B$130, MONTH(IMEX_VN!$A$2:$A$130)=MONTH($A38), YEAR(IMEX_VN!$A$2:$A$130)=YEAR($A38)),
    1
  ),
""""))"),-0.199999999999999)</f>
        <v>-0.19999999999999901</v>
      </c>
      <c r="L38" s="6">
        <v>95</v>
      </c>
      <c r="M38" s="7">
        <v>30.3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8">
        <v>42267</v>
      </c>
      <c r="B39" s="9">
        <v>22519</v>
      </c>
      <c r="C39" s="2">
        <v>-0.2</v>
      </c>
      <c r="D39" s="2">
        <f ca="1">IFERROR(__xludf.DUMMYFUNCTION("IF($A39="""","""", IFERROR(
  INDEX(
    FILTER(CPI_US!$D$2:$D$130, MONTH(CPI_US!$A$2:$A$130)=MONTH($A39), YEAR(CPI_US!$A$2:$A$130)=YEAR($A39)),
    1
  ),
""""))"),0.2)</f>
        <v>0.2</v>
      </c>
      <c r="E39" s="2">
        <v>7.06</v>
      </c>
      <c r="F39" s="2">
        <v>0.14000000000000001</v>
      </c>
      <c r="G39" s="2">
        <v>570</v>
      </c>
      <c r="H39" s="2">
        <v>1931.3</v>
      </c>
      <c r="I39" s="2">
        <f t="shared" si="5"/>
        <v>9.6999999999999993</v>
      </c>
      <c r="J39" s="2">
        <v>43.2</v>
      </c>
      <c r="K39" s="2">
        <f ca="1">IFERROR(__xludf.DUMMYFUNCTION("IF($A39="""","""", IFERROR(
  INDEX(
    FILTER(IMEX_VN!$B$2:$B$130, MONTH(IMEX_VN!$A$2:$A$130)=MONTH($A39), YEAR(IMEX_VN!$A$2:$A$130)=YEAR($A39)),
    1
  ),
""""))"),-0.199999999999999)</f>
        <v>-0.19999999999999901</v>
      </c>
      <c r="L39" s="6">
        <v>96</v>
      </c>
      <c r="M39" s="7">
        <v>30.3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8">
        <v>42274</v>
      </c>
      <c r="B40" s="9">
        <v>22477</v>
      </c>
      <c r="C40" s="2">
        <v>-0.2</v>
      </c>
      <c r="D40" s="2">
        <f ca="1">IFERROR(__xludf.DUMMYFUNCTION("IF($A40="""","""", IFERROR(
  INDEX(
    FILTER(CPI_US!$D$2:$D$130, MONTH(CPI_US!$A$2:$A$130)=MONTH($A40), YEAR(CPI_US!$A$2:$A$130)=YEAR($A40)),
    1
  ),
""""))"),0.2)</f>
        <v>0.2</v>
      </c>
      <c r="E40" s="2">
        <v>7.0449999999999999</v>
      </c>
      <c r="F40" s="2">
        <v>0.13</v>
      </c>
      <c r="G40" s="2">
        <v>562</v>
      </c>
      <c r="H40" s="2">
        <v>1951.4</v>
      </c>
      <c r="I40" s="2">
        <f t="shared" si="5"/>
        <v>9.6999999999999993</v>
      </c>
      <c r="J40" s="2">
        <v>43.2</v>
      </c>
      <c r="K40" s="2">
        <f ca="1">IFERROR(__xludf.DUMMYFUNCTION("IF($A40="""","""", IFERROR(
  INDEX(
    FILTER(IMEX_VN!$B$2:$B$130, MONTH(IMEX_VN!$A$2:$A$130)=MONTH($A40), YEAR(IMEX_VN!$A$2:$A$130)=YEAR($A40)),
    1
  ),
""""))"),-0.199999999999999)</f>
        <v>-0.19999999999999901</v>
      </c>
      <c r="L40" s="6">
        <v>96</v>
      </c>
      <c r="M40" s="7">
        <v>30.3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8">
        <v>42281</v>
      </c>
      <c r="B41" s="9">
        <v>22238</v>
      </c>
      <c r="C41" s="2">
        <v>0.1</v>
      </c>
      <c r="D41" s="2">
        <f ca="1">IFERROR(__xludf.DUMMYFUNCTION("IF($A41="""","""", IFERROR(
  INDEX(
    FILTER(CPI_US!$D$2:$D$130, MONTH(CPI_US!$A$2:$A$130)=MONTH($A41), YEAR(CPI_US!$A$2:$A$130)=YEAR($A41)),
    1
  ),
""""))"),0)</f>
        <v>0</v>
      </c>
      <c r="E41" s="2">
        <v>7.008</v>
      </c>
      <c r="F41" s="2">
        <v>0.13</v>
      </c>
      <c r="G41" s="2">
        <v>588</v>
      </c>
      <c r="H41" s="2">
        <v>2014.9</v>
      </c>
      <c r="I41" s="2">
        <v>11.8</v>
      </c>
      <c r="J41" s="2">
        <v>29.5</v>
      </c>
      <c r="K41" s="2">
        <f ca="1">IFERROR(__xludf.DUMMYFUNCTION("IF($A41="""","""", IFERROR(
  INDEX(
    FILTER(IMEX_VN!$B$2:$B$130, MONTH(IMEX_VN!$A$2:$A$130)=MONTH($A41), YEAR(IMEX_VN!$A$2:$A$130)=YEAR($A41)),
    1
  ),
""""))"),0.5)</f>
        <v>0.5</v>
      </c>
      <c r="L41" s="6">
        <v>95</v>
      </c>
      <c r="M41" s="7">
        <v>30.6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8">
        <v>42288</v>
      </c>
      <c r="B42" s="9">
        <v>22281</v>
      </c>
      <c r="C42" s="2">
        <v>0.1</v>
      </c>
      <c r="D42" s="2">
        <f ca="1">IFERROR(__xludf.DUMMYFUNCTION("IF($A42="""","""", IFERROR(
  INDEX(
    FILTER(CPI_US!$D$2:$D$130, MONTH(CPI_US!$A$2:$A$130)=MONTH($A42), YEAR(CPI_US!$A$2:$A$130)=YEAR($A42)),
    1
  ),
""""))"),0)</f>
        <v>0</v>
      </c>
      <c r="E42" s="2">
        <v>7.0309999999999997</v>
      </c>
      <c r="F42" s="2">
        <v>0.13</v>
      </c>
      <c r="G42" s="2">
        <v>593</v>
      </c>
      <c r="H42" s="2">
        <v>2033.1</v>
      </c>
      <c r="I42" s="2">
        <f t="shared" ref="I42:I44" si="6">I41</f>
        <v>11.8</v>
      </c>
      <c r="J42" s="2">
        <v>29.5</v>
      </c>
      <c r="K42" s="2">
        <f ca="1">IFERROR(__xludf.DUMMYFUNCTION("IF($A42="""","""", IFERROR(
  INDEX(
    FILTER(IMEX_VN!$B$2:$B$130, MONTH(IMEX_VN!$A$2:$A$130)=MONTH($A42), YEAR(IMEX_VN!$A$2:$A$130)=YEAR($A42)),
    1
  ),
""""))"),0.5)</f>
        <v>0.5</v>
      </c>
      <c r="L42" s="6">
        <v>95</v>
      </c>
      <c r="M42" s="7">
        <v>30.6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8">
        <v>42295</v>
      </c>
      <c r="B43" s="9">
        <v>22395</v>
      </c>
      <c r="C43" s="2">
        <v>0.1</v>
      </c>
      <c r="D43" s="2">
        <f ca="1">IFERROR(__xludf.DUMMYFUNCTION("IF($A43="""","""", IFERROR(
  INDEX(
    FILTER(CPI_US!$D$2:$D$130, MONTH(CPI_US!$A$2:$A$130)=MONTH($A43), YEAR(CPI_US!$A$2:$A$130)=YEAR($A43)),
    1
  ),
""""))"),0)</f>
        <v>0</v>
      </c>
      <c r="E43" s="2">
        <v>7.0369999999999999</v>
      </c>
      <c r="F43" s="2">
        <v>0.13</v>
      </c>
      <c r="G43" s="2">
        <v>601</v>
      </c>
      <c r="H43" s="2">
        <v>2075.1999999999998</v>
      </c>
      <c r="I43" s="2">
        <f t="shared" si="6"/>
        <v>11.8</v>
      </c>
      <c r="J43" s="2">
        <v>29.5</v>
      </c>
      <c r="K43" s="2">
        <f ca="1">IFERROR(__xludf.DUMMYFUNCTION("IF($A43="""","""", IFERROR(
  INDEX(
    FILTER(IMEX_VN!$B$2:$B$130, MONTH(IMEX_VN!$A$2:$A$130)=MONTH($A43), YEAR(IMEX_VN!$A$2:$A$130)=YEAR($A43)),
    1
  ),
""""))"),0.5)</f>
        <v>0.5</v>
      </c>
      <c r="L43" s="6">
        <v>97</v>
      </c>
      <c r="M43" s="7">
        <v>30.6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8">
        <v>42302</v>
      </c>
      <c r="B44" s="9">
        <v>22335</v>
      </c>
      <c r="C44" s="2">
        <v>0.1</v>
      </c>
      <c r="D44" s="2">
        <f ca="1">IFERROR(__xludf.DUMMYFUNCTION("IF($A44="""","""", IFERROR(
  INDEX(
    FILTER(CPI_US!$D$2:$D$130, MONTH(CPI_US!$A$2:$A$130)=MONTH($A44), YEAR(CPI_US!$A$2:$A$130)=YEAR($A44)),
    1
  ),
""""))"),0)</f>
        <v>0</v>
      </c>
      <c r="E44" s="2">
        <v>7.0620000000000003</v>
      </c>
      <c r="F44" s="2">
        <v>0.12</v>
      </c>
      <c r="G44" s="2">
        <v>607</v>
      </c>
      <c r="H44" s="2">
        <v>2079.4</v>
      </c>
      <c r="I44" s="2">
        <f t="shared" si="6"/>
        <v>11.8</v>
      </c>
      <c r="J44" s="2">
        <v>29.5</v>
      </c>
      <c r="K44" s="2">
        <f ca="1">IFERROR(__xludf.DUMMYFUNCTION("IF($A44="""","""", IFERROR(
  INDEX(
    FILTER(IMEX_VN!$B$2:$B$130, MONTH(IMEX_VN!$A$2:$A$130)=MONTH($A44), YEAR(IMEX_VN!$A$2:$A$130)=YEAR($A44)),
    1
  ),
""""))"),0.5)</f>
        <v>0.5</v>
      </c>
      <c r="L44" s="6">
        <v>97</v>
      </c>
      <c r="M44" s="7">
        <v>30.6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8">
        <v>42309</v>
      </c>
      <c r="B45" s="9">
        <v>22364</v>
      </c>
      <c r="C45" s="2">
        <v>0.1</v>
      </c>
      <c r="D45" s="2">
        <f ca="1">IFERROR(__xludf.DUMMYFUNCTION("IF($A45="""","""", IFERROR(
  INDEX(
    FILTER(CPI_US!$D$2:$D$130, MONTH(CPI_US!$A$2:$A$130)=MONTH($A45), YEAR(CPI_US!$A$2:$A$130)=YEAR($A45)),
    1
  ),
""""))"),0.2)</f>
        <v>0.2</v>
      </c>
      <c r="E45" s="2">
        <v>7.0650000000000004</v>
      </c>
      <c r="F45" s="2">
        <v>7.0000000000000007E-2</v>
      </c>
      <c r="G45" s="2">
        <v>612</v>
      </c>
      <c r="H45" s="2">
        <v>2099.1999999999998</v>
      </c>
      <c r="I45" s="2">
        <v>13.2</v>
      </c>
      <c r="J45" s="2">
        <v>29.5</v>
      </c>
      <c r="K45" s="2">
        <f ca="1">IFERROR(__xludf.DUMMYFUNCTION("IF($A45="""","""", IFERROR(
  INDEX(
    FILTER(IMEX_VN!$B$2:$B$130, MONTH(IMEX_VN!$A$2:$A$130)=MONTH($A45), YEAR(IMEX_VN!$A$2:$A$130)=YEAR($A45)),
    1
  ),
""""))"),0.3)</f>
        <v>0.3</v>
      </c>
      <c r="L45" s="6">
        <v>99</v>
      </c>
      <c r="M45" s="7">
        <v>29.9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8">
        <v>42316</v>
      </c>
      <c r="B46" s="9">
        <v>22417</v>
      </c>
      <c r="C46" s="2">
        <v>0.1</v>
      </c>
      <c r="D46" s="2">
        <f ca="1">IFERROR(__xludf.DUMMYFUNCTION("IF($A46="""","""", IFERROR(
  INDEX(
    FILTER(CPI_US!$D$2:$D$130, MONTH(CPI_US!$A$2:$A$130)=MONTH($A46), YEAR(CPI_US!$A$2:$A$130)=YEAR($A46)),
    1
  ),
""""))"),0.2)</f>
        <v>0.2</v>
      </c>
      <c r="E46" s="2">
        <v>7.0549999999999997</v>
      </c>
      <c r="F46" s="2">
        <v>0.12</v>
      </c>
      <c r="G46" s="2">
        <v>611</v>
      </c>
      <c r="H46" s="2">
        <v>2023</v>
      </c>
      <c r="I46" s="2">
        <f t="shared" ref="I46:I49" si="7">I45</f>
        <v>13.2</v>
      </c>
      <c r="J46" s="2">
        <v>29.5</v>
      </c>
      <c r="K46" s="2">
        <f ca="1">IFERROR(__xludf.DUMMYFUNCTION("IF($A46="""","""", IFERROR(
  INDEX(
    FILTER(IMEX_VN!$B$2:$B$130, MONTH(IMEX_VN!$A$2:$A$130)=MONTH($A46), YEAR(IMEX_VN!$A$2:$A$130)=YEAR($A46)),
    1
  ),
""""))"),0.3)</f>
        <v>0.3</v>
      </c>
      <c r="L46" s="6">
        <v>99</v>
      </c>
      <c r="M46" s="7">
        <v>29.9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8">
        <v>42323</v>
      </c>
      <c r="B47" s="9">
        <v>22472</v>
      </c>
      <c r="C47" s="2">
        <v>0.1</v>
      </c>
      <c r="D47" s="2">
        <f ca="1">IFERROR(__xludf.DUMMYFUNCTION("IF($A47="""","""", IFERROR(
  INDEX(
    FILTER(CPI_US!$D$2:$D$130, MONTH(CPI_US!$A$2:$A$130)=MONTH($A47), YEAR(CPI_US!$A$2:$A$130)=YEAR($A47)),
    1
  ),
""""))"),0.2)</f>
        <v>0.2</v>
      </c>
      <c r="E47" s="2">
        <v>7.07</v>
      </c>
      <c r="F47" s="2">
        <v>0.12</v>
      </c>
      <c r="G47" s="2">
        <v>604</v>
      </c>
      <c r="H47" s="2">
        <v>2089.1999999999998</v>
      </c>
      <c r="I47" s="2">
        <f t="shared" si="7"/>
        <v>13.2</v>
      </c>
      <c r="J47" s="2">
        <v>29.5</v>
      </c>
      <c r="K47" s="2">
        <f ca="1">IFERROR(__xludf.DUMMYFUNCTION("IF($A47="""","""", IFERROR(
  INDEX(
    FILTER(IMEX_VN!$B$2:$B$130, MONTH(IMEX_VN!$A$2:$A$130)=MONTH($A47), YEAR(IMEX_VN!$A$2:$A$130)=YEAR($A47)),
    1
  ),
""""))"),0.3)</f>
        <v>0.3</v>
      </c>
      <c r="L47" s="6">
        <v>100</v>
      </c>
      <c r="M47" s="7">
        <v>29.9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8">
        <v>42330</v>
      </c>
      <c r="B48" s="9">
        <v>22485</v>
      </c>
      <c r="C48" s="2">
        <v>0.1</v>
      </c>
      <c r="D48" s="2">
        <f ca="1">IFERROR(__xludf.DUMMYFUNCTION("IF($A48="""","""", IFERROR(
  INDEX(
    FILTER(CPI_US!$D$2:$D$130, MONTH(CPI_US!$A$2:$A$130)=MONTH($A48), YEAR(CPI_US!$A$2:$A$130)=YEAR($A48)),
    1
  ),
""""))"),0.2)</f>
        <v>0.2</v>
      </c>
      <c r="E48" s="2">
        <v>7.0960000000000001</v>
      </c>
      <c r="F48" s="2">
        <v>0.12</v>
      </c>
      <c r="G48" s="2">
        <v>582</v>
      </c>
      <c r="H48" s="2">
        <v>2090.1</v>
      </c>
      <c r="I48" s="2">
        <f t="shared" si="7"/>
        <v>13.2</v>
      </c>
      <c r="J48" s="2">
        <v>29.5</v>
      </c>
      <c r="K48" s="2">
        <f ca="1">IFERROR(__xludf.DUMMYFUNCTION("IF($A48="""","""", IFERROR(
  INDEX(
    FILTER(IMEX_VN!$B$2:$B$130, MONTH(IMEX_VN!$A$2:$A$130)=MONTH($A48), YEAR(IMEX_VN!$A$2:$A$130)=YEAR($A48)),
    1
  ),
""""))"),0.3)</f>
        <v>0.3</v>
      </c>
      <c r="L48" s="6">
        <v>100</v>
      </c>
      <c r="M48" s="7">
        <v>29.9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8">
        <v>42337</v>
      </c>
      <c r="B49" s="9">
        <v>22480</v>
      </c>
      <c r="C49" s="2">
        <v>0.1</v>
      </c>
      <c r="D49" s="2">
        <f ca="1">IFERROR(__xludf.DUMMYFUNCTION("IF($A49="""","""", IFERROR(
  INDEX(
    FILTER(CPI_US!$D$2:$D$130, MONTH(CPI_US!$A$2:$A$130)=MONTH($A49), YEAR(CPI_US!$A$2:$A$130)=YEAR($A49)),
    1
  ),
""""))"),0.2)</f>
        <v>0.2</v>
      </c>
      <c r="E49" s="2">
        <v>7.0670000000000002</v>
      </c>
      <c r="F49" s="2">
        <v>0.12</v>
      </c>
      <c r="G49" s="2">
        <v>571</v>
      </c>
      <c r="H49" s="2">
        <v>2091.6999999999998</v>
      </c>
      <c r="I49" s="2">
        <f t="shared" si="7"/>
        <v>13.2</v>
      </c>
      <c r="J49" s="2">
        <v>29.5</v>
      </c>
      <c r="K49" s="2">
        <f ca="1">IFERROR(__xludf.DUMMYFUNCTION("IF($A49="""","""", IFERROR(
  INDEX(
    FILTER(IMEX_VN!$B$2:$B$130, MONTH(IMEX_VN!$A$2:$A$130)=MONTH($A49), YEAR(IMEX_VN!$A$2:$A$130)=YEAR($A49)),
    1
  ),
""""))"),0.3)</f>
        <v>0.3</v>
      </c>
      <c r="L49" s="6">
        <v>98</v>
      </c>
      <c r="M49" s="7">
        <v>29.9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8">
        <v>42344</v>
      </c>
      <c r="B50" s="9">
        <v>22500</v>
      </c>
      <c r="C50" s="2">
        <v>0</v>
      </c>
      <c r="D50" s="2">
        <f ca="1">IFERROR(__xludf.DUMMYFUNCTION("IF($A50="""","""", IFERROR(
  INDEX(
    FILTER(CPI_US!$D$2:$D$130, MONTH(CPI_US!$A$2:$A$130)=MONTH($A50), YEAR(CPI_US!$A$2:$A$130)=YEAR($A50)),
    1
  ),
""""))"),0.5)</f>
        <v>0.5</v>
      </c>
      <c r="E50" s="2">
        <v>7.0579999999999998</v>
      </c>
      <c r="F50" s="2">
        <v>0.13</v>
      </c>
      <c r="G50" s="2">
        <v>563</v>
      </c>
      <c r="H50" s="2">
        <v>2012.4</v>
      </c>
      <c r="I50" s="2">
        <v>14.5</v>
      </c>
      <c r="J50" s="2">
        <v>29.5</v>
      </c>
      <c r="K50" s="2">
        <f ca="1">IFERROR(__xludf.DUMMYFUNCTION("IF($A50="""","""", IFERROR(
  INDEX(
    FILTER(IMEX_VN!$B$2:$B$130, MONTH(IMEX_VN!$A$2:$A$130)=MONTH($A50), YEAR(IMEX_VN!$A$2:$A$130)=YEAR($A50)),
    1
  ),
""""))"),-0.600000000000001)</f>
        <v>-0.60000000000000098</v>
      </c>
      <c r="L50" s="6">
        <v>98</v>
      </c>
      <c r="M50" s="7">
        <v>27.9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8">
        <v>42351</v>
      </c>
      <c r="B51" s="9">
        <v>22523</v>
      </c>
      <c r="C51" s="2">
        <v>0</v>
      </c>
      <c r="D51" s="2">
        <f ca="1">IFERROR(__xludf.DUMMYFUNCTION("IF($A51="""","""", IFERROR(
  INDEX(
    FILTER(CPI_US!$D$2:$D$130, MONTH(CPI_US!$A$2:$A$130)=MONTH($A51), YEAR(CPI_US!$A$2:$A$130)=YEAR($A51)),
    1
  ),
""""))"),0.5)</f>
        <v>0.5</v>
      </c>
      <c r="E51" s="2">
        <v>7.0579999999999998</v>
      </c>
      <c r="F51" s="2">
        <v>0.14000000000000001</v>
      </c>
      <c r="G51" s="2">
        <v>568</v>
      </c>
      <c r="H51" s="2">
        <v>2005.5</v>
      </c>
      <c r="I51" s="2">
        <f t="shared" ref="I51:I53" si="8">I50</f>
        <v>14.5</v>
      </c>
      <c r="J51" s="2">
        <v>29.5</v>
      </c>
      <c r="K51" s="2">
        <f ca="1">IFERROR(__xludf.DUMMYFUNCTION("IF($A51="""","""", IFERROR(
  INDEX(
    FILTER(IMEX_VN!$B$2:$B$130, MONTH(IMEX_VN!$A$2:$A$130)=MONTH($A51), YEAR(IMEX_VN!$A$2:$A$130)=YEAR($A51)),
    1
  ),
""""))"),-0.600000000000001)</f>
        <v>-0.60000000000000098</v>
      </c>
      <c r="L51" s="6">
        <v>99</v>
      </c>
      <c r="M51" s="7">
        <v>27.9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8">
        <v>42358</v>
      </c>
      <c r="B52" s="9">
        <v>22543</v>
      </c>
      <c r="C52" s="2">
        <v>0</v>
      </c>
      <c r="D52" s="2">
        <f ca="1">IFERROR(__xludf.DUMMYFUNCTION("IF($A52="""","""", IFERROR(
  INDEX(
    FILTER(CPI_US!$D$2:$D$130, MONTH(CPI_US!$A$2:$A$130)=MONTH($A52), YEAR(CPI_US!$A$2:$A$130)=YEAR($A52)),
    1
  ),
""""))"),0.5)</f>
        <v>0.5</v>
      </c>
      <c r="E52" s="2">
        <v>7.056</v>
      </c>
      <c r="F52" s="2">
        <v>0.37</v>
      </c>
      <c r="G52" s="2">
        <v>567</v>
      </c>
      <c r="H52" s="2">
        <v>2061</v>
      </c>
      <c r="I52" s="2">
        <f t="shared" si="8"/>
        <v>14.5</v>
      </c>
      <c r="J52" s="2">
        <v>29.5</v>
      </c>
      <c r="K52" s="2">
        <f ca="1">IFERROR(__xludf.DUMMYFUNCTION("IF($A52="""","""", IFERROR(
  INDEX(
    FILTER(IMEX_VN!$B$2:$B$130, MONTH(IMEX_VN!$A$2:$A$130)=MONTH($A52), YEAR(IMEX_VN!$A$2:$A$130)=YEAR($A52)),
    1
  ),
""""))"),-0.600000000000001)</f>
        <v>-0.60000000000000098</v>
      </c>
      <c r="L52" s="6">
        <v>98</v>
      </c>
      <c r="M52" s="7">
        <v>27.9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8">
        <v>42365</v>
      </c>
      <c r="B53" s="9">
        <v>22485</v>
      </c>
      <c r="C53" s="2">
        <v>0</v>
      </c>
      <c r="D53" s="2">
        <f ca="1">IFERROR(__xludf.DUMMYFUNCTION("IF($A53="""","""", IFERROR(
  INDEX(
    FILTER(CPI_US!$D$2:$D$130, MONTH(CPI_US!$A$2:$A$130)=MONTH($A53), YEAR(CPI_US!$A$2:$A$130)=YEAR($A53)),
    1
  ),
""""))"),0.5)</f>
        <v>0.5</v>
      </c>
      <c r="E53" s="2">
        <v>7.0519999999999996</v>
      </c>
      <c r="F53" s="2">
        <v>0.36</v>
      </c>
      <c r="G53" s="2">
        <v>579</v>
      </c>
      <c r="H53" s="2">
        <v>2043.9</v>
      </c>
      <c r="I53" s="2">
        <f t="shared" si="8"/>
        <v>14.5</v>
      </c>
      <c r="J53" s="2">
        <v>29.5</v>
      </c>
      <c r="K53" s="2">
        <f ca="1">IFERROR(__xludf.DUMMYFUNCTION("IF($A53="""","""", IFERROR(
  INDEX(
    FILTER(IMEX_VN!$B$2:$B$130, MONTH(IMEX_VN!$A$2:$A$130)=MONTH($A53), YEAR(IMEX_VN!$A$2:$A$130)=YEAR($A53)),
    1
  ),
""""))"),-0.600000000000001)</f>
        <v>-0.60000000000000098</v>
      </c>
      <c r="L53" s="6">
        <v>99</v>
      </c>
      <c r="M53" s="7">
        <v>27.9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8">
        <v>42372</v>
      </c>
      <c r="B54" s="9">
        <v>22465</v>
      </c>
      <c r="C54" s="2">
        <v>0</v>
      </c>
      <c r="D54" s="2">
        <f ca="1">IFERROR(__xludf.DUMMYFUNCTION("IF($A54="""","""", IFERROR(
  INDEX(
    FILTER(CPI_US!$D$2:$D$130, MONTH(CPI_US!$A$2:$A$130)=MONTH($A54), YEAR(CPI_US!$A$2:$A$130)=YEAR($A54)),
    1
  ),
""""))"),0.7)</f>
        <v>0.7</v>
      </c>
      <c r="E54" s="2">
        <v>7.0540000000000003</v>
      </c>
      <c r="F54" s="2">
        <v>0.2</v>
      </c>
      <c r="G54" s="2">
        <v>560</v>
      </c>
      <c r="H54" s="2">
        <v>1922</v>
      </c>
      <c r="I54" s="2">
        <v>0.8</v>
      </c>
      <c r="J54" s="2">
        <v>31.2</v>
      </c>
      <c r="K54" s="2">
        <f ca="1">IFERROR(__xludf.DUMMYFUNCTION("IF($A54="""","""", IFERROR(
  INDEX(
    FILTER(IMEX_VN!$B$2:$B$130, MONTH(IMEX_VN!$A$2:$A$130)=MONTH($A54), YEAR(IMEX_VN!$A$2:$A$130)=YEAR($A54)),
    1
  ),
""""))"),0.8)</f>
        <v>0.8</v>
      </c>
      <c r="L54" s="6">
        <v>99</v>
      </c>
      <c r="M54" s="7">
        <v>27.1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8">
        <v>42379</v>
      </c>
      <c r="B55" s="9">
        <v>22416</v>
      </c>
      <c r="C55" s="2">
        <v>0</v>
      </c>
      <c r="D55" s="2">
        <f ca="1">IFERROR(__xludf.DUMMYFUNCTION("IF($A55="""","""", IFERROR(
  INDEX(
    FILTER(CPI_US!$D$2:$D$130, MONTH(CPI_US!$A$2:$A$130)=MONTH($A55), YEAR(CPI_US!$A$2:$A$130)=YEAR($A55)),
    1
  ),
""""))"),0.7)</f>
        <v>0.7</v>
      </c>
      <c r="E55" s="2">
        <v>7.0590000000000002</v>
      </c>
      <c r="F55" s="2">
        <v>0.36</v>
      </c>
      <c r="G55" s="2">
        <v>543</v>
      </c>
      <c r="H55" s="2">
        <v>1880.3</v>
      </c>
      <c r="I55" s="2">
        <f t="shared" ref="I55:I58" si="9">I54</f>
        <v>0.8</v>
      </c>
      <c r="J55" s="2">
        <v>31.2</v>
      </c>
      <c r="K55" s="2">
        <f ca="1">IFERROR(__xludf.DUMMYFUNCTION("IF($A55="""","""", IFERROR(
  INDEX(
    FILTER(IMEX_VN!$B$2:$B$130, MONTH(IMEX_VN!$A$2:$A$130)=MONTH($A55), YEAR(IMEX_VN!$A$2:$A$130)=YEAR($A55)),
    1
  ),
""""))"),0.8)</f>
        <v>0.8</v>
      </c>
      <c r="L55" s="6">
        <v>99</v>
      </c>
      <c r="M55" s="7">
        <v>27.1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8">
        <v>42386</v>
      </c>
      <c r="B56" s="9">
        <v>22455</v>
      </c>
      <c r="C56" s="2">
        <v>0</v>
      </c>
      <c r="D56" s="2">
        <f ca="1">IFERROR(__xludf.DUMMYFUNCTION("IF($A56="""","""", IFERROR(
  INDEX(
    FILTER(CPI_US!$D$2:$D$130, MONTH(CPI_US!$A$2:$A$130)=MONTH($A56), YEAR(CPI_US!$A$2:$A$130)=YEAR($A56)),
    1
  ),
""""))"),0.7)</f>
        <v>0.7</v>
      </c>
      <c r="E56" s="2">
        <v>7.0570000000000004</v>
      </c>
      <c r="F56" s="2">
        <v>0.36</v>
      </c>
      <c r="G56" s="2">
        <v>522</v>
      </c>
      <c r="H56" s="2">
        <v>1906.9</v>
      </c>
      <c r="I56" s="2">
        <f t="shared" si="9"/>
        <v>0.8</v>
      </c>
      <c r="J56" s="2">
        <v>31.2</v>
      </c>
      <c r="K56" s="2">
        <f ca="1">IFERROR(__xludf.DUMMYFUNCTION("IF($A56="""","""", IFERROR(
  INDEX(
    FILTER(IMEX_VN!$B$2:$B$130, MONTH(IMEX_VN!$A$2:$A$130)=MONTH($A56), YEAR(IMEX_VN!$A$2:$A$130)=YEAR($A56)),
    1
  ),
""""))"),0.8)</f>
        <v>0.8</v>
      </c>
      <c r="L56" s="6">
        <v>100</v>
      </c>
      <c r="M56" s="7">
        <v>27.1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8">
        <v>42393</v>
      </c>
      <c r="B57" s="9">
        <v>22241</v>
      </c>
      <c r="C57" s="2">
        <v>0</v>
      </c>
      <c r="D57" s="2">
        <f ca="1">IFERROR(__xludf.DUMMYFUNCTION("IF($A57="""","""", IFERROR(
  INDEX(
    FILTER(CPI_US!$D$2:$D$130, MONTH(CPI_US!$A$2:$A$130)=MONTH($A57), YEAR(CPI_US!$A$2:$A$130)=YEAR($A57)),
    1
  ),
""""))"),0.7)</f>
        <v>0.7</v>
      </c>
      <c r="E57" s="2">
        <v>7.0369999999999999</v>
      </c>
      <c r="F57" s="2">
        <v>0.38</v>
      </c>
      <c r="G57" s="2">
        <v>545</v>
      </c>
      <c r="H57" s="2">
        <v>1940.2</v>
      </c>
      <c r="I57" s="2">
        <f t="shared" si="9"/>
        <v>0.8</v>
      </c>
      <c r="J57" s="2">
        <v>31.2</v>
      </c>
      <c r="K57" s="2">
        <f ca="1">IFERROR(__xludf.DUMMYFUNCTION("IF($A57="""","""", IFERROR(
  INDEX(
    FILTER(IMEX_VN!$B$2:$B$130, MONTH(IMEX_VN!$A$2:$A$130)=MONTH($A57), YEAR(IMEX_VN!$A$2:$A$130)=YEAR($A57)),
    1
  ),
""""))"),0.8)</f>
        <v>0.8</v>
      </c>
      <c r="L57" s="6">
        <v>100</v>
      </c>
      <c r="M57" s="7">
        <v>27.1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8">
        <v>42400</v>
      </c>
      <c r="B58" s="9">
        <v>22286</v>
      </c>
      <c r="C58" s="2">
        <v>0</v>
      </c>
      <c r="D58" s="2">
        <f ca="1">IFERROR(__xludf.DUMMYFUNCTION("IF($A58="""","""", IFERROR(
  INDEX(
    FILTER(CPI_US!$D$2:$D$130, MONTH(CPI_US!$A$2:$A$130)=MONTH($A58), YEAR(CPI_US!$A$2:$A$130)=YEAR($A58)),
    1
  ),
""""))"),0.7)</f>
        <v>0.7</v>
      </c>
      <c r="E58" s="2">
        <v>7.0590000000000002</v>
      </c>
      <c r="F58" s="2">
        <v>0.28999999999999998</v>
      </c>
      <c r="G58" s="2">
        <v>544</v>
      </c>
      <c r="H58" s="2">
        <v>1880</v>
      </c>
      <c r="I58" s="2">
        <f t="shared" si="9"/>
        <v>0.8</v>
      </c>
      <c r="J58" s="2">
        <v>31.2</v>
      </c>
      <c r="K58" s="2">
        <f ca="1">IFERROR(__xludf.DUMMYFUNCTION("IF($A58="""","""", IFERROR(
  INDEX(
    FILTER(IMEX_VN!$B$2:$B$130, MONTH(IMEX_VN!$A$2:$A$130)=MONTH($A58), YEAR(IMEX_VN!$A$2:$A$130)=YEAR($A58)),
    1
  ),
""""))"),0.8)</f>
        <v>0.8</v>
      </c>
      <c r="L58" s="6">
        <v>97</v>
      </c>
      <c r="M58" s="7">
        <v>27.1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8">
        <v>42407</v>
      </c>
      <c r="B59" s="9">
        <v>22308</v>
      </c>
      <c r="C59" s="2">
        <v>0.4</v>
      </c>
      <c r="D59" s="2">
        <f ca="1">IFERROR(__xludf.DUMMYFUNCTION("IF($A59="""","""", IFERROR(
  INDEX(
    FILTER(CPI_US!$D$2:$D$130, MONTH(CPI_US!$A$2:$A$130)=MONTH($A59), YEAR(CPI_US!$A$2:$A$130)=YEAR($A59)),
    1
  ),
""""))"),1.4)</f>
        <v>1.4</v>
      </c>
      <c r="E59" s="2">
        <v>7.0590000000000002</v>
      </c>
      <c r="F59" s="2">
        <v>0.38</v>
      </c>
      <c r="G59" s="2">
        <v>554</v>
      </c>
      <c r="H59" s="2">
        <v>1864.8</v>
      </c>
      <c r="I59" s="2">
        <v>1.5</v>
      </c>
      <c r="J59" s="2">
        <v>31.2</v>
      </c>
      <c r="K59" s="2">
        <f ca="1">IFERROR(__xludf.DUMMYFUNCTION("IF($A59="""","""", IFERROR(
  INDEX(
    FILTER(IMEX_VN!$B$2:$B$130, MONTH(IMEX_VN!$A$2:$A$130)=MONTH($A59), YEAR(IMEX_VN!$A$2:$A$130)=YEAR($A59)),
    1
  ),
""""))"),-0.200000000000001)</f>
        <v>-0.20000000000000101</v>
      </c>
      <c r="L59" s="6">
        <v>96</v>
      </c>
      <c r="M59" s="7">
        <v>28.5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8">
        <v>42414</v>
      </c>
      <c r="B60" s="9">
        <v>22348</v>
      </c>
      <c r="C60" s="2">
        <v>0.4</v>
      </c>
      <c r="D60" s="2">
        <f ca="1">IFERROR(__xludf.DUMMYFUNCTION("IF($A60="""","""", IFERROR(
  INDEX(
    FILTER(CPI_US!$D$2:$D$130, MONTH(CPI_US!$A$2:$A$130)=MONTH($A60), YEAR(CPI_US!$A$2:$A$130)=YEAR($A60)),
    1
  ),
""""))"),1.4)</f>
        <v>1.4</v>
      </c>
      <c r="E60" s="2">
        <v>6.931</v>
      </c>
      <c r="F60" s="2">
        <v>0.38</v>
      </c>
      <c r="G60" s="2">
        <v>566</v>
      </c>
      <c r="H60" s="2">
        <v>1917.8</v>
      </c>
      <c r="I60" s="2">
        <f t="shared" ref="I60:I62" si="10">I59</f>
        <v>1.5</v>
      </c>
      <c r="J60" s="2">
        <v>31.2</v>
      </c>
      <c r="K60" s="2">
        <f ca="1">IFERROR(__xludf.DUMMYFUNCTION("IF($A60="""","""", IFERROR(
  INDEX(
    FILTER(IMEX_VN!$B$2:$B$130, MONTH(IMEX_VN!$A$2:$A$130)=MONTH($A60), YEAR(IMEX_VN!$A$2:$A$130)=YEAR($A60)),
    1
  ),
""""))"),-0.200000000000001)</f>
        <v>-0.20000000000000101</v>
      </c>
      <c r="L60" s="6">
        <v>97</v>
      </c>
      <c r="M60" s="7">
        <v>28.5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8">
        <v>42421</v>
      </c>
      <c r="B61" s="9">
        <v>22317</v>
      </c>
      <c r="C61" s="2">
        <v>0.4</v>
      </c>
      <c r="D61" s="2">
        <f ca="1">IFERROR(__xludf.DUMMYFUNCTION("IF($A61="""","""", IFERROR(
  INDEX(
    FILTER(CPI_US!$D$2:$D$130, MONTH(CPI_US!$A$2:$A$130)=MONTH($A61), YEAR(CPI_US!$A$2:$A$130)=YEAR($A61)),
    1
  ),
""""))"),1.4)</f>
        <v>1.4</v>
      </c>
      <c r="E61" s="2">
        <v>6.8760000000000003</v>
      </c>
      <c r="F61" s="2">
        <v>0.38</v>
      </c>
      <c r="G61" s="2">
        <v>573</v>
      </c>
      <c r="H61" s="2">
        <v>1948</v>
      </c>
      <c r="I61" s="2">
        <f t="shared" si="10"/>
        <v>1.5</v>
      </c>
      <c r="J61" s="2">
        <v>31.2</v>
      </c>
      <c r="K61" s="2">
        <f ca="1">IFERROR(__xludf.DUMMYFUNCTION("IF($A61="""","""", IFERROR(
  INDEX(
    FILTER(IMEX_VN!$B$2:$B$130, MONTH(IMEX_VN!$A$2:$A$130)=MONTH($A61), YEAR(IMEX_VN!$A$2:$A$130)=YEAR($A61)),
    1
  ),
""""))"),-0.200000000000001)</f>
        <v>-0.20000000000000101</v>
      </c>
      <c r="L61" s="6">
        <v>98</v>
      </c>
      <c r="M61" s="7">
        <v>28.5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8">
        <v>42428</v>
      </c>
      <c r="B62" s="9">
        <v>22277</v>
      </c>
      <c r="C62" s="2">
        <v>0.4</v>
      </c>
      <c r="D62" s="2">
        <f ca="1">IFERROR(__xludf.DUMMYFUNCTION("IF($A62="""","""", IFERROR(
  INDEX(
    FILTER(CPI_US!$D$2:$D$130, MONTH(CPI_US!$A$2:$A$130)=MONTH($A62), YEAR(CPI_US!$A$2:$A$130)=YEAR($A62)),
    1
  ),
""""))"),1.4)</f>
        <v>1.4</v>
      </c>
      <c r="E62" s="2">
        <v>6.8710000000000004</v>
      </c>
      <c r="F62" s="2">
        <v>0.37</v>
      </c>
      <c r="G62" s="2">
        <v>577</v>
      </c>
      <c r="H62" s="2">
        <v>2000</v>
      </c>
      <c r="I62" s="2">
        <f t="shared" si="10"/>
        <v>1.5</v>
      </c>
      <c r="J62" s="2">
        <v>31.2</v>
      </c>
      <c r="K62" s="2">
        <f ca="1">IFERROR(__xludf.DUMMYFUNCTION("IF($A62="""","""", IFERROR(
  INDEX(
    FILTER(IMEX_VN!$B$2:$B$130, MONTH(IMEX_VN!$A$2:$A$130)=MONTH($A62), YEAR(IMEX_VN!$A$2:$A$130)=YEAR($A62)),
    1
  ),
""""))"),-0.200000000000001)</f>
        <v>-0.20000000000000101</v>
      </c>
      <c r="L62" s="6">
        <v>97</v>
      </c>
      <c r="M62" s="7">
        <v>28.5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8">
        <v>42435</v>
      </c>
      <c r="B63" s="9">
        <v>22281</v>
      </c>
      <c r="C63" s="2">
        <v>0.6</v>
      </c>
      <c r="D63" s="2">
        <f ca="1">IFERROR(__xludf.DUMMYFUNCTION("IF($A63="""","""", IFERROR(
  INDEX(
    FILTER(CPI_US!$D$2:$D$130, MONTH(CPI_US!$A$2:$A$130)=MONTH($A63), YEAR(CPI_US!$A$2:$A$130)=YEAR($A63)),
    1
  ),
""""))"),1)</f>
        <v>1</v>
      </c>
      <c r="E63" s="2">
        <v>6.8630000000000004</v>
      </c>
      <c r="F63" s="2">
        <v>0.36</v>
      </c>
      <c r="G63" s="2">
        <v>575</v>
      </c>
      <c r="H63" s="2">
        <v>2022.2</v>
      </c>
      <c r="I63" s="2">
        <v>3.5</v>
      </c>
      <c r="J63" s="2">
        <v>31.2</v>
      </c>
      <c r="K63" s="2">
        <f ca="1">IFERROR(__xludf.DUMMYFUNCTION("IF($A63="""","""", IFERROR(
  INDEX(
    FILTER(IMEX_VN!$B$2:$B$130, MONTH(IMEX_VN!$A$2:$A$130)=MONTH($A63), YEAR(IMEX_VN!$A$2:$A$130)=YEAR($A63)),
    1
  ),
""""))"),0.599999999999999)</f>
        <v>0.59999999999999898</v>
      </c>
      <c r="L63" s="6">
        <v>96</v>
      </c>
      <c r="M63" s="7">
        <v>31.2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8">
        <v>42442</v>
      </c>
      <c r="B64" s="9">
        <v>22303</v>
      </c>
      <c r="C64" s="2">
        <v>0.6</v>
      </c>
      <c r="D64" s="2">
        <f ca="1">IFERROR(__xludf.DUMMYFUNCTION("IF($A64="""","""", IFERROR(
  INDEX(
    FILTER(CPI_US!$D$2:$D$130, MONTH(CPI_US!$A$2:$A$130)=MONTH($A64), YEAR(CPI_US!$A$2:$A$130)=YEAR($A64)),
    1
  ),
""""))"),1)</f>
        <v>1</v>
      </c>
      <c r="E64" s="2">
        <v>6.8760000000000003</v>
      </c>
      <c r="F64" s="2">
        <v>0.36</v>
      </c>
      <c r="G64" s="2">
        <v>572</v>
      </c>
      <c r="H64" s="2">
        <v>2049.6</v>
      </c>
      <c r="I64" s="2">
        <f t="shared" ref="I64:I66" si="11">I63</f>
        <v>3.5</v>
      </c>
      <c r="J64" s="2">
        <v>31.2</v>
      </c>
      <c r="K64" s="2">
        <f ca="1">IFERROR(__xludf.DUMMYFUNCTION("IF($A64="""","""", IFERROR(
  INDEX(
    FILTER(IMEX_VN!$B$2:$B$130, MONTH(IMEX_VN!$A$2:$A$130)=MONTH($A64), YEAR(IMEX_VN!$A$2:$A$130)=YEAR($A64)),
    1
  ),
""""))"),0.599999999999999)</f>
        <v>0.59999999999999898</v>
      </c>
      <c r="L64" s="6">
        <v>95</v>
      </c>
      <c r="M64" s="7">
        <v>31.2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8">
        <v>42449</v>
      </c>
      <c r="B65" s="9">
        <v>22302</v>
      </c>
      <c r="C65" s="2">
        <v>0.6</v>
      </c>
      <c r="D65" s="2">
        <f ca="1">IFERROR(__xludf.DUMMYFUNCTION("IF($A65="""","""", IFERROR(
  INDEX(
    FILTER(CPI_US!$D$2:$D$130, MONTH(CPI_US!$A$2:$A$130)=MONTH($A65), YEAR(CPI_US!$A$2:$A$130)=YEAR($A65)),
    1
  ),
""""))"),1)</f>
        <v>1</v>
      </c>
      <c r="E65" s="2">
        <v>6.875</v>
      </c>
      <c r="F65" s="2">
        <v>0.37</v>
      </c>
      <c r="G65" s="2">
        <v>558</v>
      </c>
      <c r="H65" s="2">
        <v>2035.9</v>
      </c>
      <c r="I65" s="2">
        <f t="shared" si="11"/>
        <v>3.5</v>
      </c>
      <c r="J65" s="2">
        <v>31.2</v>
      </c>
      <c r="K65" s="2">
        <f ca="1">IFERROR(__xludf.DUMMYFUNCTION("IF($A65="""","""", IFERROR(
  INDEX(
    FILTER(IMEX_VN!$B$2:$B$130, MONTH(IMEX_VN!$A$2:$A$130)=MONTH($A65), YEAR(IMEX_VN!$A$2:$A$130)=YEAR($A65)),
    1
  ),
""""))"),0.599999999999999)</f>
        <v>0.59999999999999898</v>
      </c>
      <c r="L65" s="6">
        <v>96</v>
      </c>
      <c r="M65" s="7">
        <v>31.2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8">
        <v>42456</v>
      </c>
      <c r="B66" s="9">
        <v>22329</v>
      </c>
      <c r="C66" s="2">
        <v>0.6</v>
      </c>
      <c r="D66" s="2">
        <f ca="1">IFERROR(__xludf.DUMMYFUNCTION("IF($A66="""","""", IFERROR(
  INDEX(
    FILTER(CPI_US!$D$2:$D$130, MONTH(CPI_US!$A$2:$A$130)=MONTH($A66), YEAR(CPI_US!$A$2:$A$130)=YEAR($A66)),
    1
  ),
""""))"),1)</f>
        <v>1</v>
      </c>
      <c r="E66" s="2">
        <v>6.8680000000000003</v>
      </c>
      <c r="F66" s="2">
        <v>0.37</v>
      </c>
      <c r="G66" s="2">
        <v>572</v>
      </c>
      <c r="H66" s="2">
        <v>2072.8000000000002</v>
      </c>
      <c r="I66" s="2">
        <f t="shared" si="11"/>
        <v>3.5</v>
      </c>
      <c r="J66" s="2">
        <v>31.2</v>
      </c>
      <c r="K66" s="2">
        <f ca="1">IFERROR(__xludf.DUMMYFUNCTION("IF($A66="""","""", IFERROR(
  INDEX(
    FILTER(IMEX_VN!$B$2:$B$130, MONTH(IMEX_VN!$A$2:$A$130)=MONTH($A66), YEAR(IMEX_VN!$A$2:$A$130)=YEAR($A66)),
    1
  ),
""""))"),0.599999999999999)</f>
        <v>0.59999999999999898</v>
      </c>
      <c r="L66" s="6">
        <v>95</v>
      </c>
      <c r="M66" s="7">
        <v>31.2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8">
        <v>42463</v>
      </c>
      <c r="B67" s="9">
        <v>22294</v>
      </c>
      <c r="C67" s="2">
        <v>0.3</v>
      </c>
      <c r="D67" s="2">
        <f ca="1">IFERROR(__xludf.DUMMYFUNCTION("IF($A67="""","""", IFERROR(
  INDEX(
    FILTER(CPI_US!$D$2:$D$130, MONTH(CPI_US!$A$2:$A$130)=MONTH($A67), YEAR(CPI_US!$A$2:$A$130)=YEAR($A67)),
    1
  ),
""""))"),0.899999999999999)</f>
        <v>0.89999999999999902</v>
      </c>
      <c r="E67" s="2">
        <v>6.9429999999999996</v>
      </c>
      <c r="F67" s="2">
        <v>0.37</v>
      </c>
      <c r="G67" s="2">
        <v>579</v>
      </c>
      <c r="H67" s="2">
        <v>2047.6</v>
      </c>
      <c r="I67" s="2">
        <v>4.7</v>
      </c>
      <c r="J67" s="2">
        <v>38.6</v>
      </c>
      <c r="K67" s="2">
        <f ca="1">IFERROR(__xludf.DUMMYFUNCTION("IF($A67="""","""", IFERROR(
  INDEX(
    FILTER(IMEX_VN!$B$2:$B$130, MONTH(IMEX_VN!$A$2:$A$130)=MONTH($A67), YEAR(IMEX_VN!$A$2:$A$130)=YEAR($A67)),
    1
  ),
""""))"),0.3)</f>
        <v>0.3</v>
      </c>
      <c r="L67" s="6">
        <v>94</v>
      </c>
      <c r="M67" s="7">
        <v>33.5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8">
        <v>42470</v>
      </c>
      <c r="B68" s="9">
        <v>22339</v>
      </c>
      <c r="C68" s="2">
        <v>0.3</v>
      </c>
      <c r="D68" s="2">
        <f ca="1">IFERROR(__xludf.DUMMYFUNCTION("IF($A68="""","""", IFERROR(
  INDEX(
    FILTER(CPI_US!$D$2:$D$130, MONTH(CPI_US!$A$2:$A$130)=MONTH($A68), YEAR(CPI_US!$A$2:$A$130)=YEAR($A68)),
    1
  ),
""""))"),0.899999999999999)</f>
        <v>0.89999999999999902</v>
      </c>
      <c r="E68" s="2">
        <v>6.9429999999999996</v>
      </c>
      <c r="F68" s="2">
        <v>0.37</v>
      </c>
      <c r="G68" s="2">
        <v>592</v>
      </c>
      <c r="H68" s="2">
        <v>2080.6999999999998</v>
      </c>
      <c r="I68" s="2">
        <f t="shared" ref="I68:I70" si="12">I67</f>
        <v>4.7</v>
      </c>
      <c r="J68" s="2">
        <v>38.6</v>
      </c>
      <c r="K68" s="2">
        <f ca="1">IFERROR(__xludf.DUMMYFUNCTION("IF($A68="""","""", IFERROR(
  INDEX(
    FILTER(IMEX_VN!$B$2:$B$130, MONTH(IMEX_VN!$A$2:$A$130)=MONTH($A68), YEAR(IMEX_VN!$A$2:$A$130)=YEAR($A68)),
    1
  ),
""""))"),0.3)</f>
        <v>0.3</v>
      </c>
      <c r="L68" s="6">
        <v>95</v>
      </c>
      <c r="M68" s="7">
        <v>33.5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8">
        <v>42477</v>
      </c>
      <c r="B69" s="9">
        <v>22279</v>
      </c>
      <c r="C69" s="2">
        <v>0.3</v>
      </c>
      <c r="D69" s="2">
        <f ca="1">IFERROR(__xludf.DUMMYFUNCTION("IF($A69="""","""", IFERROR(
  INDEX(
    FILTER(CPI_US!$D$2:$D$130, MONTH(CPI_US!$A$2:$A$130)=MONTH($A69), YEAR(CPI_US!$A$2:$A$130)=YEAR($A69)),
    1
  ),
""""))"),0.899999999999999)</f>
        <v>0.89999999999999902</v>
      </c>
      <c r="E69" s="2">
        <v>6.9429999999999996</v>
      </c>
      <c r="F69" s="2">
        <v>0.37</v>
      </c>
      <c r="G69" s="2">
        <v>598</v>
      </c>
      <c r="H69" s="2">
        <v>2091.6</v>
      </c>
      <c r="I69" s="2">
        <f t="shared" si="12"/>
        <v>4.7</v>
      </c>
      <c r="J69" s="2">
        <v>38.6</v>
      </c>
      <c r="K69" s="2">
        <f ca="1">IFERROR(__xludf.DUMMYFUNCTION("IF($A69="""","""", IFERROR(
  INDEX(
    FILTER(IMEX_VN!$B$2:$B$130, MONTH(IMEX_VN!$A$2:$A$130)=MONTH($A69), YEAR(IMEX_VN!$A$2:$A$130)=YEAR($A69)),
    1
  ),
""""))"),0.3)</f>
        <v>0.3</v>
      </c>
      <c r="L69" s="6">
        <v>95</v>
      </c>
      <c r="M69" s="7">
        <v>33.5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8">
        <v>42484</v>
      </c>
      <c r="B70" s="9">
        <v>22288</v>
      </c>
      <c r="C70" s="2">
        <v>0.3</v>
      </c>
      <c r="D70" s="2">
        <f ca="1">IFERROR(__xludf.DUMMYFUNCTION("IF($A70="""","""", IFERROR(
  INDEX(
    FILTER(CPI_US!$D$2:$D$130, MONTH(CPI_US!$A$2:$A$130)=MONTH($A70), YEAR(CPI_US!$A$2:$A$130)=YEAR($A70)),
    1
  ),
""""))"),0.899999999999999)</f>
        <v>0.89999999999999902</v>
      </c>
      <c r="E70" s="2">
        <v>6.9429999999999996</v>
      </c>
      <c r="F70" s="2">
        <v>0.37</v>
      </c>
      <c r="G70" s="2">
        <v>606</v>
      </c>
      <c r="H70" s="2">
        <v>2065.3000000000002</v>
      </c>
      <c r="I70" s="2">
        <f t="shared" si="12"/>
        <v>4.7</v>
      </c>
      <c r="J70" s="2">
        <v>38.6</v>
      </c>
      <c r="K70" s="2">
        <f ca="1">IFERROR(__xludf.DUMMYFUNCTION("IF($A70="""","""", IFERROR(
  INDEX(
    FILTER(IMEX_VN!$B$2:$B$130, MONTH(IMEX_VN!$A$2:$A$130)=MONTH($A70), YEAR(IMEX_VN!$A$2:$A$130)=YEAR($A70)),
    1
  ),
""""))"),0.3)</f>
        <v>0.3</v>
      </c>
      <c r="L70" s="6">
        <v>93</v>
      </c>
      <c r="M70" s="7">
        <v>33.5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8">
        <v>42491</v>
      </c>
      <c r="B71" s="9">
        <v>22272</v>
      </c>
      <c r="C71" s="2">
        <v>0.5</v>
      </c>
      <c r="D71" s="2">
        <f ca="1">IFERROR(__xludf.DUMMYFUNCTION("IF($A71="""","""", IFERROR(
  INDEX(
    FILTER(CPI_US!$D$2:$D$130, MONTH(CPI_US!$A$2:$A$130)=MONTH($A71), YEAR(CPI_US!$A$2:$A$130)=YEAR($A71)),
    1
  ),
""""))"),1.09999999999999)</f>
        <v>1.0999999999999901</v>
      </c>
      <c r="E71" s="2">
        <v>6.9429999999999996</v>
      </c>
      <c r="F71" s="2">
        <v>0.3</v>
      </c>
      <c r="G71" s="2">
        <v>610</v>
      </c>
      <c r="H71" s="2">
        <v>2057.1</v>
      </c>
      <c r="I71" s="2">
        <v>5.8</v>
      </c>
      <c r="J71" s="2">
        <v>38.6</v>
      </c>
      <c r="K71" s="2">
        <f ca="1">IFERROR(__xludf.DUMMYFUNCTION("IF($A71="""","""", IFERROR(
  INDEX(
    FILTER(IMEX_VN!$B$2:$B$130, MONTH(IMEX_VN!$A$2:$A$130)=MONTH($A71), YEAR(IMEX_VN!$A$2:$A$130)=YEAR($A71)),
    1
  ),
""""))"),-0.0999999999999996)</f>
        <v>-9.9999999999999603E-2</v>
      </c>
      <c r="L71" s="6">
        <v>94</v>
      </c>
      <c r="M71" s="7">
        <v>34.4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8">
        <v>42498</v>
      </c>
      <c r="B72" s="9">
        <v>22317</v>
      </c>
      <c r="C72" s="2">
        <v>0.5</v>
      </c>
      <c r="D72" s="2">
        <f ca="1">IFERROR(__xludf.DUMMYFUNCTION("IF($A72="""","""", IFERROR(
  INDEX(
    FILTER(CPI_US!$D$2:$D$130, MONTH(CPI_US!$A$2:$A$130)=MONTH($A72), YEAR(CPI_US!$A$2:$A$130)=YEAR($A72)),
    1
  ),
""""))"),1.09999999999999)</f>
        <v>1.0999999999999901</v>
      </c>
      <c r="E72" s="2">
        <v>6.9429999999999996</v>
      </c>
      <c r="F72" s="2">
        <v>0.37</v>
      </c>
      <c r="G72" s="2">
        <v>614</v>
      </c>
      <c r="H72" s="2">
        <v>2046.6</v>
      </c>
      <c r="I72" s="2">
        <v>5.8</v>
      </c>
      <c r="J72" s="2">
        <v>38.6</v>
      </c>
      <c r="K72" s="2">
        <f ca="1">IFERROR(__xludf.DUMMYFUNCTION("IF($A72="""","""", IFERROR(
  INDEX(
    FILTER(IMEX_VN!$B$2:$B$130, MONTH(IMEX_VN!$A$2:$A$130)=MONTH($A72), YEAR(IMEX_VN!$A$2:$A$130)=YEAR($A72)),
    1
  ),
""""))"),-0.0999999999999996)</f>
        <v>-9.9999999999999603E-2</v>
      </c>
      <c r="L72" s="6">
        <v>95</v>
      </c>
      <c r="M72" s="7">
        <v>34.4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8">
        <v>42505</v>
      </c>
      <c r="B73" s="9">
        <v>22317</v>
      </c>
      <c r="C73" s="2">
        <v>0.5</v>
      </c>
      <c r="D73" s="2">
        <f ca="1">IFERROR(__xludf.DUMMYFUNCTION("IF($A73="""","""", IFERROR(
  INDEX(
    FILTER(CPI_US!$D$2:$D$130, MONTH(CPI_US!$A$2:$A$130)=MONTH($A73), YEAR(CPI_US!$A$2:$A$130)=YEAR($A73)),
    1
  ),
""""))"),1.09999999999999)</f>
        <v>1.0999999999999901</v>
      </c>
      <c r="E73" s="2">
        <v>6.9429999999999996</v>
      </c>
      <c r="F73" s="2">
        <v>0.37</v>
      </c>
      <c r="G73" s="2">
        <v>608</v>
      </c>
      <c r="H73" s="2">
        <v>2052.3000000000002</v>
      </c>
      <c r="I73" s="2">
        <v>5.8</v>
      </c>
      <c r="J73" s="2">
        <v>38.6</v>
      </c>
      <c r="K73" s="2">
        <f ca="1">IFERROR(__xludf.DUMMYFUNCTION("IF($A73="""","""", IFERROR(
  INDEX(
    FILTER(IMEX_VN!$B$2:$B$130, MONTH(IMEX_VN!$A$2:$A$130)=MONTH($A73), YEAR(IMEX_VN!$A$2:$A$130)=YEAR($A73)),
    1
  ),
""""))"),-0.0999999999999996)</f>
        <v>-9.9999999999999603E-2</v>
      </c>
      <c r="L73" s="6">
        <v>95</v>
      </c>
      <c r="M73" s="7">
        <v>34.4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8">
        <v>42512</v>
      </c>
      <c r="B74" s="9">
        <v>22383</v>
      </c>
      <c r="C74" s="2">
        <v>0.5</v>
      </c>
      <c r="D74" s="2">
        <f ca="1">IFERROR(__xludf.DUMMYFUNCTION("IF($A74="""","""", IFERROR(
  INDEX(
    FILTER(CPI_US!$D$2:$D$130, MONTH(CPI_US!$A$2:$A$130)=MONTH($A74), YEAR(CPI_US!$A$2:$A$130)=YEAR($A74)),
    1
  ),
""""))"),1.09999999999999)</f>
        <v>1.0999999999999901</v>
      </c>
      <c r="E74" s="2">
        <v>6.9429999999999996</v>
      </c>
      <c r="F74" s="2">
        <v>0.37</v>
      </c>
      <c r="G74" s="2">
        <v>621</v>
      </c>
      <c r="H74" s="2">
        <v>2099.1</v>
      </c>
      <c r="I74" s="2">
        <v>5.8</v>
      </c>
      <c r="J74" s="2">
        <v>38.6</v>
      </c>
      <c r="K74" s="2">
        <f ca="1">IFERROR(__xludf.DUMMYFUNCTION("IF($A74="""","""", IFERROR(
  INDEX(
    FILTER(IMEX_VN!$B$2:$B$130, MONTH(IMEX_VN!$A$2:$A$130)=MONTH($A74), YEAR(IMEX_VN!$A$2:$A$130)=YEAR($A74)),
    1
  ),
""""))"),-0.0999999999999996)</f>
        <v>-9.9999999999999603E-2</v>
      </c>
      <c r="L74" s="6">
        <v>96</v>
      </c>
      <c r="M74" s="7">
        <v>34.4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8">
        <v>42519</v>
      </c>
      <c r="B75" s="9">
        <v>22434</v>
      </c>
      <c r="C75" s="2">
        <v>0.5</v>
      </c>
      <c r="D75" s="2">
        <f ca="1">IFERROR(__xludf.DUMMYFUNCTION("IF($A75="""","""", IFERROR(
  INDEX(
    FILTER(CPI_US!$D$2:$D$130, MONTH(CPI_US!$A$2:$A$130)=MONTH($A75), YEAR(CPI_US!$A$2:$A$130)=YEAR($A75)),
    1
  ),
""""))"),1.09999999999999)</f>
        <v>1.0999999999999901</v>
      </c>
      <c r="E75" s="2">
        <v>6.9429999999999996</v>
      </c>
      <c r="F75" s="2">
        <v>0.37</v>
      </c>
      <c r="G75" s="2">
        <v>629</v>
      </c>
      <c r="H75" s="2">
        <v>2099.1</v>
      </c>
      <c r="I75" s="2">
        <v>5.8</v>
      </c>
      <c r="J75" s="2">
        <v>38.6</v>
      </c>
      <c r="K75" s="2">
        <f ca="1">IFERROR(__xludf.DUMMYFUNCTION("IF($A75="""","""", IFERROR(
  INDEX(
    FILTER(IMEX_VN!$B$2:$B$130, MONTH(IMEX_VN!$A$2:$A$130)=MONTH($A75), YEAR(IMEX_VN!$A$2:$A$130)=YEAR($A75)),
    1
  ),
""""))"),-0.0999999999999996)</f>
        <v>-9.9999999999999603E-2</v>
      </c>
      <c r="L75" s="6">
        <v>94</v>
      </c>
      <c r="M75" s="7">
        <v>34.4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8">
        <v>42526</v>
      </c>
      <c r="B76" s="9">
        <v>22335</v>
      </c>
      <c r="C76" s="2">
        <v>0.5</v>
      </c>
      <c r="D76" s="2">
        <f ca="1">IFERROR(__xludf.DUMMYFUNCTION("IF($A76="""","""", IFERROR(
  INDEX(
    FILTER(CPI_US!$D$2:$D$130, MONTH(CPI_US!$A$2:$A$130)=MONTH($A76), YEAR(CPI_US!$A$2:$A$130)=YEAR($A76)),
    1
  ),
""""))"),1)</f>
        <v>1</v>
      </c>
      <c r="E76" s="2">
        <v>6.9050000000000002</v>
      </c>
      <c r="F76" s="2">
        <v>0.37</v>
      </c>
      <c r="G76" s="2">
        <v>619</v>
      </c>
      <c r="H76" s="2">
        <v>2096.1</v>
      </c>
      <c r="I76" s="2">
        <v>7.25</v>
      </c>
      <c r="J76" s="2">
        <v>38.6</v>
      </c>
      <c r="K76" s="2">
        <f ca="1">IFERROR(__xludf.DUMMYFUNCTION("IF($A76="""","""", IFERROR(
  INDEX(
    FILTER(IMEX_VN!$B$2:$B$130, MONTH(IMEX_VN!$A$2:$A$130)=MONTH($A76), YEAR(IMEX_VN!$A$2:$A$130)=YEAR($A76)),
    1
  ),
""""))"),0)</f>
        <v>0</v>
      </c>
      <c r="L76" s="6">
        <v>95</v>
      </c>
      <c r="M76" s="7">
        <v>34.6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8">
        <v>42533</v>
      </c>
      <c r="B77" s="9">
        <v>22404</v>
      </c>
      <c r="C77" s="2">
        <v>0.5</v>
      </c>
      <c r="D77" s="2">
        <f ca="1">IFERROR(__xludf.DUMMYFUNCTION("IF($A77="""","""", IFERROR(
  INDEX(
    FILTER(CPI_US!$D$2:$D$130, MONTH(CPI_US!$A$2:$A$130)=MONTH($A77), YEAR(CPI_US!$A$2:$A$130)=YEAR($A77)),
    1
  ),
""""))"),1)</f>
        <v>1</v>
      </c>
      <c r="E77" s="2">
        <v>6.9059999999999997</v>
      </c>
      <c r="F77" s="2">
        <v>0.37</v>
      </c>
      <c r="G77" s="2">
        <v>620</v>
      </c>
      <c r="H77" s="2">
        <v>2071.1999999999998</v>
      </c>
      <c r="I77" s="2">
        <v>7.25</v>
      </c>
      <c r="J77" s="2">
        <v>38.6</v>
      </c>
      <c r="K77" s="2">
        <f ca="1">IFERROR(__xludf.DUMMYFUNCTION("IF($A77="""","""", IFERROR(
  INDEX(
    FILTER(IMEX_VN!$B$2:$B$130, MONTH(IMEX_VN!$A$2:$A$130)=MONTH($A77), YEAR(IMEX_VN!$A$2:$A$130)=YEAR($A77)),
    1
  ),
""""))"),0)</f>
        <v>0</v>
      </c>
      <c r="L77" s="6">
        <v>94</v>
      </c>
      <c r="M77" s="7">
        <v>34.6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8">
        <v>42540</v>
      </c>
      <c r="B78" s="9">
        <v>22331</v>
      </c>
      <c r="C78" s="2">
        <v>0.5</v>
      </c>
      <c r="D78" s="2">
        <f ca="1">IFERROR(__xludf.DUMMYFUNCTION("IF($A78="""","""", IFERROR(
  INDEX(
    FILTER(CPI_US!$D$2:$D$130, MONTH(CPI_US!$A$2:$A$130)=MONTH($A78), YEAR(CPI_US!$A$2:$A$130)=YEAR($A78)),
    1
  ),
""""))"),1)</f>
        <v>1</v>
      </c>
      <c r="E78" s="2">
        <v>6.8959999999999999</v>
      </c>
      <c r="F78" s="2">
        <v>0.38</v>
      </c>
      <c r="G78" s="2">
        <v>640</v>
      </c>
      <c r="H78" s="2">
        <v>2037.4</v>
      </c>
      <c r="I78" s="2">
        <v>7.25</v>
      </c>
      <c r="J78" s="2">
        <v>38.6</v>
      </c>
      <c r="K78" s="2">
        <f ca="1">IFERROR(__xludf.DUMMYFUNCTION("IF($A78="""","""", IFERROR(
  INDEX(
    FILTER(IMEX_VN!$B$2:$B$130, MONTH(IMEX_VN!$A$2:$A$130)=MONTH($A78), YEAR(IMEX_VN!$A$2:$A$130)=YEAR($A78)),
    1
  ),
""""))"),0)</f>
        <v>0</v>
      </c>
      <c r="L78" s="6">
        <v>95</v>
      </c>
      <c r="M78" s="7">
        <v>34.6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8">
        <v>42547</v>
      </c>
      <c r="B79" s="9">
        <v>22322</v>
      </c>
      <c r="C79" s="2">
        <v>0.5</v>
      </c>
      <c r="D79" s="2">
        <f ca="1">IFERROR(__xludf.DUMMYFUNCTION("IF($A79="""","""", IFERROR(
  INDEX(
    FILTER(CPI_US!$D$2:$D$130, MONTH(CPI_US!$A$2:$A$130)=MONTH($A79), YEAR(CPI_US!$A$2:$A$130)=YEAR($A79)),
    1
  ),
""""))"),1)</f>
        <v>1</v>
      </c>
      <c r="E79" s="2">
        <v>6.9089999999999998</v>
      </c>
      <c r="F79" s="2">
        <v>0.4</v>
      </c>
      <c r="G79" s="2">
        <v>658</v>
      </c>
      <c r="H79" s="2">
        <v>2102.9</v>
      </c>
      <c r="I79" s="2">
        <v>7.25</v>
      </c>
      <c r="J79" s="2">
        <v>38.6</v>
      </c>
      <c r="K79" s="2">
        <f ca="1">IFERROR(__xludf.DUMMYFUNCTION("IF($A79="""","""", IFERROR(
  INDEX(
    FILTER(IMEX_VN!$B$2:$B$130, MONTH(IMEX_VN!$A$2:$A$130)=MONTH($A79), YEAR(IMEX_VN!$A$2:$A$130)=YEAR($A79)),
    1
  ),
""""))"),0)</f>
        <v>0</v>
      </c>
      <c r="L79" s="6">
        <v>96</v>
      </c>
      <c r="M79" s="7">
        <v>34.6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8">
        <v>42554</v>
      </c>
      <c r="B80" s="9">
        <v>22290</v>
      </c>
      <c r="C80" s="2">
        <v>0.1</v>
      </c>
      <c r="D80" s="2">
        <f ca="1">IFERROR(__xludf.DUMMYFUNCTION("IF($A80="""","""", IFERROR(
  INDEX(
    FILTER(CPI_US!$D$2:$D$130, MONTH(CPI_US!$A$2:$A$130)=MONTH($A80), YEAR(CPI_US!$A$2:$A$130)=YEAR($A80)),
    1
  ),
""""))"),1)</f>
        <v>1</v>
      </c>
      <c r="E80" s="2">
        <v>6.92</v>
      </c>
      <c r="F80" s="2">
        <v>0.41</v>
      </c>
      <c r="G80" s="2">
        <v>664</v>
      </c>
      <c r="H80" s="2">
        <v>2129.9</v>
      </c>
      <c r="I80" s="2">
        <v>8.6</v>
      </c>
      <c r="J80" s="2">
        <v>38.9</v>
      </c>
      <c r="K80" s="2">
        <f ca="1">IFERROR(__xludf.DUMMYFUNCTION("IF($A80="""","""", IFERROR(
  INDEX(
    FILTER(IMEX_VN!$B$2:$B$130, MONTH(IMEX_VN!$A$2:$A$130)=MONTH($A80), YEAR(IMEX_VN!$A$2:$A$130)=YEAR($A80)),
    1
  ),
""""))"),0.599999999999999)</f>
        <v>0.59999999999999898</v>
      </c>
      <c r="L80" s="6">
        <v>96</v>
      </c>
      <c r="M80" s="7">
        <v>34.799999999999997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8">
        <v>42561</v>
      </c>
      <c r="B81" s="9">
        <v>22314</v>
      </c>
      <c r="C81" s="2">
        <v>0.1</v>
      </c>
      <c r="D81" s="2">
        <f ca="1">IFERROR(__xludf.DUMMYFUNCTION("IF($A81="""","""", IFERROR(
  INDEX(
    FILTER(CPI_US!$D$2:$D$130, MONTH(CPI_US!$A$2:$A$130)=MONTH($A81), YEAR(CPI_US!$A$2:$A$130)=YEAR($A81)),
    1
  ),
""""))"),1)</f>
        <v>1</v>
      </c>
      <c r="E81" s="2">
        <v>6.9359999999999999</v>
      </c>
      <c r="F81" s="2">
        <v>0.4</v>
      </c>
      <c r="G81" s="2">
        <v>649</v>
      </c>
      <c r="H81" s="2">
        <v>2161.6999999999998</v>
      </c>
      <c r="I81" s="2">
        <v>8.6</v>
      </c>
      <c r="J81" s="2">
        <v>38.9</v>
      </c>
      <c r="K81" s="2">
        <f ca="1">IFERROR(__xludf.DUMMYFUNCTION("IF($A81="""","""", IFERROR(
  INDEX(
    FILTER(IMEX_VN!$B$2:$B$130, MONTH(IMEX_VN!$A$2:$A$130)=MONTH($A81), YEAR(IMEX_VN!$A$2:$A$130)=YEAR($A81)),
    1
  ),
""""))"),0.599999999999999)</f>
        <v>0.59999999999999898</v>
      </c>
      <c r="L81" s="6">
        <v>97</v>
      </c>
      <c r="M81" s="7">
        <v>34.799999999999997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8">
        <v>42568</v>
      </c>
      <c r="B82" s="9">
        <v>22295</v>
      </c>
      <c r="C82" s="2">
        <v>0.1</v>
      </c>
      <c r="D82" s="2">
        <f ca="1">IFERROR(__xludf.DUMMYFUNCTION("IF($A82="""","""", IFERROR(
  INDEX(
    FILTER(CPI_US!$D$2:$D$130, MONTH(CPI_US!$A$2:$A$130)=MONTH($A82), YEAR(CPI_US!$A$2:$A$130)=YEAR($A82)),
    1
  ),
""""))"),1)</f>
        <v>1</v>
      </c>
      <c r="E82" s="2">
        <v>6.9260000000000002</v>
      </c>
      <c r="F82" s="2">
        <v>0.4</v>
      </c>
      <c r="G82" s="2">
        <v>652</v>
      </c>
      <c r="H82" s="2">
        <v>2175</v>
      </c>
      <c r="I82" s="2">
        <v>8.6</v>
      </c>
      <c r="J82" s="2">
        <v>38.9</v>
      </c>
      <c r="K82" s="2">
        <f ca="1">IFERROR(__xludf.DUMMYFUNCTION("IF($A82="""","""", IFERROR(
  INDEX(
    FILTER(IMEX_VN!$B$2:$B$130, MONTH(IMEX_VN!$A$2:$A$130)=MONTH($A82), YEAR(IMEX_VN!$A$2:$A$130)=YEAR($A82)),
    1
  ),
""""))"),0.599999999999999)</f>
        <v>0.59999999999999898</v>
      </c>
      <c r="L82" s="6">
        <v>97</v>
      </c>
      <c r="M82" s="7">
        <v>34.799999999999997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8">
        <v>42575</v>
      </c>
      <c r="B83" s="9">
        <v>22299</v>
      </c>
      <c r="C83" s="2">
        <v>0.1</v>
      </c>
      <c r="D83" s="2">
        <f ca="1">IFERROR(__xludf.DUMMYFUNCTION("IF($A83="""","""", IFERROR(
  INDEX(
    FILTER(CPI_US!$D$2:$D$130, MONTH(CPI_US!$A$2:$A$130)=MONTH($A83), YEAR(CPI_US!$A$2:$A$130)=YEAR($A83)),
    1
  ),
""""))"),1)</f>
        <v>1</v>
      </c>
      <c r="E83" s="2">
        <v>6.9210000000000003</v>
      </c>
      <c r="F83" s="2">
        <v>0.4</v>
      </c>
      <c r="G83" s="2">
        <v>627</v>
      </c>
      <c r="H83" s="2">
        <v>2173.6</v>
      </c>
      <c r="I83" s="2">
        <v>8.6</v>
      </c>
      <c r="J83" s="2">
        <v>38.9</v>
      </c>
      <c r="K83" s="2">
        <f ca="1">IFERROR(__xludf.DUMMYFUNCTION("IF($A83="""","""", IFERROR(
  INDEX(
    FILTER(IMEX_VN!$B$2:$B$130, MONTH(IMEX_VN!$A$2:$A$130)=MONTH($A83), YEAR(IMEX_VN!$A$2:$A$130)=YEAR($A83)),
    1
  ),
""""))"),0.599999999999999)</f>
        <v>0.59999999999999898</v>
      </c>
      <c r="L83" s="6">
        <v>96</v>
      </c>
      <c r="M83" s="7">
        <v>34.799999999999997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8">
        <v>42582</v>
      </c>
      <c r="B84" s="9">
        <v>22302</v>
      </c>
      <c r="C84" s="2">
        <v>0.1</v>
      </c>
      <c r="D84" s="2">
        <f ca="1">IFERROR(__xludf.DUMMYFUNCTION("IF($A84="""","""", IFERROR(
  INDEX(
    FILTER(CPI_US!$D$2:$D$130, MONTH(CPI_US!$A$2:$A$130)=MONTH($A84), YEAR(CPI_US!$A$2:$A$130)=YEAR($A84)),
    1
  ),
""""))"),1)</f>
        <v>1</v>
      </c>
      <c r="E84" s="2">
        <v>6.9249999999999998</v>
      </c>
      <c r="F84" s="2">
        <v>0.3</v>
      </c>
      <c r="G84" s="2">
        <v>655</v>
      </c>
      <c r="H84" s="2">
        <v>2182.9</v>
      </c>
      <c r="I84" s="2">
        <v>8.6</v>
      </c>
      <c r="J84" s="2">
        <v>38.9</v>
      </c>
      <c r="K84" s="2">
        <f ca="1">IFERROR(__xludf.DUMMYFUNCTION("IF($A84="""","""", IFERROR(
  INDEX(
    FILTER(IMEX_VN!$B$2:$B$130, MONTH(IMEX_VN!$A$2:$A$130)=MONTH($A84), YEAR(IMEX_VN!$A$2:$A$130)=YEAR($A84)),
    1
  ),
""""))"),0.599999999999999)</f>
        <v>0.59999999999999898</v>
      </c>
      <c r="L84" s="6">
        <v>96</v>
      </c>
      <c r="M84" s="7">
        <v>34.799999999999997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8">
        <v>42589</v>
      </c>
      <c r="B85" s="9">
        <v>22301</v>
      </c>
      <c r="C85" s="2">
        <v>0.1</v>
      </c>
      <c r="D85" s="2">
        <f ca="1">IFERROR(__xludf.DUMMYFUNCTION("IF($A85="""","""", IFERROR(
  INDEX(
    FILTER(CPI_US!$D$2:$D$130, MONTH(CPI_US!$A$2:$A$130)=MONTH($A85), YEAR(CPI_US!$A$2:$A$130)=YEAR($A85)),
    1
  ),
""""))"),0.8)</f>
        <v>0.8</v>
      </c>
      <c r="E85" s="2">
        <v>6.9210000000000003</v>
      </c>
      <c r="F85" s="2">
        <v>0.4</v>
      </c>
      <c r="G85" s="2">
        <v>662</v>
      </c>
      <c r="H85" s="2">
        <v>2184.1</v>
      </c>
      <c r="I85" s="2">
        <v>9.8000000000000007</v>
      </c>
      <c r="J85" s="2">
        <v>38.9</v>
      </c>
      <c r="K85" s="2">
        <f ca="1">IFERROR(__xludf.DUMMYFUNCTION("IF($A85="""","""", IFERROR(
  INDEX(
    FILTER(IMEX_VN!$B$2:$B$130, MONTH(IMEX_VN!$A$2:$A$130)=MONTH($A85), YEAR(IMEX_VN!$A$2:$A$130)=YEAR($A85)),
    1
  ),
""""))"),0.600000000000001)</f>
        <v>0.60000000000000098</v>
      </c>
      <c r="L85" s="6">
        <v>96</v>
      </c>
      <c r="M85" s="7">
        <v>36.700000000000003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8">
        <v>42596</v>
      </c>
      <c r="B86" s="9">
        <v>22293</v>
      </c>
      <c r="C86" s="2">
        <v>0.1</v>
      </c>
      <c r="D86" s="2">
        <f ca="1">IFERROR(__xludf.DUMMYFUNCTION("IF($A86="""","""", IFERROR(
  INDEX(
    FILTER(CPI_US!$D$2:$D$130, MONTH(CPI_US!$A$2:$A$130)=MONTH($A86), YEAR(CPI_US!$A$2:$A$130)=YEAR($A86)),
    1
  ),
""""))"),0.8)</f>
        <v>0.8</v>
      </c>
      <c r="E86" s="2">
        <v>6.88</v>
      </c>
      <c r="F86" s="2">
        <v>0.4</v>
      </c>
      <c r="G86" s="2">
        <v>667</v>
      </c>
      <c r="H86" s="2">
        <v>2183.9</v>
      </c>
      <c r="I86" s="2">
        <v>9.8000000000000007</v>
      </c>
      <c r="J86" s="2">
        <v>38.9</v>
      </c>
      <c r="K86" s="2">
        <f ca="1">IFERROR(__xludf.DUMMYFUNCTION("IF($A86="""","""", IFERROR(
  INDEX(
    FILTER(IMEX_VN!$B$2:$B$130, MONTH(IMEX_VN!$A$2:$A$130)=MONTH($A86), YEAR(IMEX_VN!$A$2:$A$130)=YEAR($A86)),
    1
  ),
""""))"),0.600000000000001)</f>
        <v>0.60000000000000098</v>
      </c>
      <c r="L86" s="6">
        <v>95</v>
      </c>
      <c r="M86" s="7">
        <v>36.700000000000003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8">
        <v>42603</v>
      </c>
      <c r="B87" s="9">
        <v>22320</v>
      </c>
      <c r="C87" s="2">
        <v>0.1</v>
      </c>
      <c r="D87" s="2">
        <f ca="1">IFERROR(__xludf.DUMMYFUNCTION("IF($A87="""","""", IFERROR(
  INDEX(
    FILTER(CPI_US!$D$2:$D$130, MONTH(CPI_US!$A$2:$A$130)=MONTH($A87), YEAR(CPI_US!$A$2:$A$130)=YEAR($A87)),
    1
  ),
""""))"),0.8)</f>
        <v>0.8</v>
      </c>
      <c r="E87" s="2">
        <v>6.8360000000000003</v>
      </c>
      <c r="F87" s="2">
        <v>0.4</v>
      </c>
      <c r="G87" s="2">
        <v>669</v>
      </c>
      <c r="H87" s="2">
        <v>2169</v>
      </c>
      <c r="I87" s="2">
        <v>9.8000000000000007</v>
      </c>
      <c r="J87" s="2">
        <v>38.9</v>
      </c>
      <c r="K87" s="2">
        <f ca="1">IFERROR(__xludf.DUMMYFUNCTION("IF($A87="""","""", IFERROR(
  INDEX(
    FILTER(IMEX_VN!$B$2:$B$130, MONTH(IMEX_VN!$A$2:$A$130)=MONTH($A87), YEAR(IMEX_VN!$A$2:$A$130)=YEAR($A87)),
    1
  ),
""""))"),0.600000000000001)</f>
        <v>0.60000000000000098</v>
      </c>
      <c r="L87" s="6">
        <v>96</v>
      </c>
      <c r="M87" s="7">
        <v>36.700000000000003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8">
        <v>42610</v>
      </c>
      <c r="B88" s="9">
        <v>22283</v>
      </c>
      <c r="C88" s="2">
        <v>0.1</v>
      </c>
      <c r="D88" s="2">
        <f ca="1">IFERROR(__xludf.DUMMYFUNCTION("IF($A88="""","""", IFERROR(
  INDEX(
    FILTER(CPI_US!$D$2:$D$130, MONTH(CPI_US!$A$2:$A$130)=MONTH($A88), YEAR(CPI_US!$A$2:$A$130)=YEAR($A88)),
    1
  ),
""""))"),0.8)</f>
        <v>0.8</v>
      </c>
      <c r="E88" s="2">
        <v>6.8339999999999996</v>
      </c>
      <c r="F88" s="2">
        <v>0.4</v>
      </c>
      <c r="G88" s="2">
        <v>666</v>
      </c>
      <c r="H88" s="2">
        <v>2180</v>
      </c>
      <c r="I88" s="2">
        <v>9.8000000000000007</v>
      </c>
      <c r="J88" s="2">
        <v>38.9</v>
      </c>
      <c r="K88" s="2">
        <f ca="1">IFERROR(__xludf.DUMMYFUNCTION("IF($A88="""","""", IFERROR(
  INDEX(
    FILTER(IMEX_VN!$B$2:$B$130, MONTH(IMEX_VN!$A$2:$A$130)=MONTH($A88), YEAR(IMEX_VN!$A$2:$A$130)=YEAR($A88)),
    1
  ),
""""))"),0.600000000000001)</f>
        <v>0.60000000000000098</v>
      </c>
      <c r="L88" s="6">
        <v>96</v>
      </c>
      <c r="M88" s="7">
        <v>36.700000000000003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8">
        <v>42617</v>
      </c>
      <c r="B89" s="9">
        <v>22300</v>
      </c>
      <c r="C89" s="2">
        <v>0.5</v>
      </c>
      <c r="D89" s="2">
        <f ca="1">IFERROR(__xludf.DUMMYFUNCTION("IF($A89="""","""", IFERROR(
  INDEX(
    FILTER(CPI_US!$D$2:$D$130, MONTH(CPI_US!$A$2:$A$130)=MONTH($A89), YEAR(CPI_US!$A$2:$A$130)=YEAR($A89)),
    1
  ),
""""))"),1.09999999999999)</f>
        <v>1.0999999999999901</v>
      </c>
      <c r="E89" s="2">
        <v>6.7629999999999999</v>
      </c>
      <c r="F89" s="2">
        <v>0.4</v>
      </c>
      <c r="G89" s="2">
        <v>651</v>
      </c>
      <c r="H89" s="2">
        <v>2127.8000000000002</v>
      </c>
      <c r="I89" s="2">
        <v>12.4</v>
      </c>
      <c r="J89" s="2">
        <v>38.9</v>
      </c>
      <c r="K89" s="2">
        <f ca="1">IFERROR(__xludf.DUMMYFUNCTION("IF($A89="""","""", IFERROR(
  INDEX(
    FILTER(IMEX_VN!$B$2:$B$130, MONTH(IMEX_VN!$A$2:$A$130)=MONTH($A89), YEAR(IMEX_VN!$A$2:$A$130)=YEAR($A89)),
    1
  ),
""""))"),0.8)</f>
        <v>0.8</v>
      </c>
      <c r="L89" s="6">
        <v>95</v>
      </c>
      <c r="M89" s="7">
        <v>37.200000000000003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8">
        <v>42624</v>
      </c>
      <c r="B90" s="9">
        <v>22319</v>
      </c>
      <c r="C90" s="2">
        <v>0.5</v>
      </c>
      <c r="D90" s="2">
        <f ca="1">IFERROR(__xludf.DUMMYFUNCTION("IF($A90="""","""", IFERROR(
  INDEX(
    FILTER(CPI_US!$D$2:$D$130, MONTH(CPI_US!$A$2:$A$130)=MONTH($A90), YEAR(CPI_US!$A$2:$A$130)=YEAR($A90)),
    1
  ),
""""))"),1.09999999999999)</f>
        <v>1.0999999999999901</v>
      </c>
      <c r="E90" s="2">
        <v>6.665</v>
      </c>
      <c r="F90" s="2">
        <v>0.4</v>
      </c>
      <c r="G90" s="2">
        <v>674</v>
      </c>
      <c r="H90" s="2">
        <v>2139.1999999999998</v>
      </c>
      <c r="I90" s="2">
        <v>12.4</v>
      </c>
      <c r="J90" s="2">
        <v>38.9</v>
      </c>
      <c r="K90" s="2">
        <f ca="1">IFERROR(__xludf.DUMMYFUNCTION("IF($A90="""","""", IFERROR(
  INDEX(
    FILTER(IMEX_VN!$B$2:$B$130, MONTH(IMEX_VN!$A$2:$A$130)=MONTH($A90), YEAR(IMEX_VN!$A$2:$A$130)=YEAR($A90)),
    1
  ),
""""))"),0.8)</f>
        <v>0.8</v>
      </c>
      <c r="L90" s="6">
        <v>96</v>
      </c>
      <c r="M90" s="7">
        <v>37.200000000000003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8">
        <v>42631</v>
      </c>
      <c r="B91" s="9">
        <v>22301</v>
      </c>
      <c r="C91" s="2">
        <v>0.5</v>
      </c>
      <c r="D91" s="2">
        <f ca="1">IFERROR(__xludf.DUMMYFUNCTION("IF($A91="""","""", IFERROR(
  INDEX(
    FILTER(CPI_US!$D$2:$D$130, MONTH(CPI_US!$A$2:$A$130)=MONTH($A91), YEAR(CPI_US!$A$2:$A$130)=YEAR($A91)),
    1
  ),
""""))"),1.09999999999999)</f>
        <v>1.0999999999999901</v>
      </c>
      <c r="E91" s="2">
        <v>6.4219999999999997</v>
      </c>
      <c r="F91" s="2">
        <v>0.4</v>
      </c>
      <c r="G91" s="2">
        <v>685</v>
      </c>
      <c r="H91" s="2">
        <v>2164.6999999999998</v>
      </c>
      <c r="I91" s="2">
        <v>12.4</v>
      </c>
      <c r="J91" s="2">
        <v>38.9</v>
      </c>
      <c r="K91" s="2">
        <f ca="1">IFERROR(__xludf.DUMMYFUNCTION("IF($A91="""","""", IFERROR(
  INDEX(
    FILTER(IMEX_VN!$B$2:$B$130, MONTH(IMEX_VN!$A$2:$A$130)=MONTH($A91), YEAR(IMEX_VN!$A$2:$A$130)=YEAR($A91)),
    1
  ),
""""))"),0.8)</f>
        <v>0.8</v>
      </c>
      <c r="L91" s="6">
        <v>95</v>
      </c>
      <c r="M91" s="7">
        <v>37.200000000000003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8">
        <v>42638</v>
      </c>
      <c r="B92" s="9">
        <v>22295</v>
      </c>
      <c r="C92" s="2">
        <v>0.5</v>
      </c>
      <c r="D92" s="2">
        <f ca="1">IFERROR(__xludf.DUMMYFUNCTION("IF($A92="""","""", IFERROR(
  INDEX(
    FILTER(CPI_US!$D$2:$D$130, MONTH(CPI_US!$A$2:$A$130)=MONTH($A92), YEAR(CPI_US!$A$2:$A$130)=YEAR($A92)),
    1
  ),
""""))"),1.09999999999999)</f>
        <v>1.0999999999999901</v>
      </c>
      <c r="E92" s="2">
        <v>6.218</v>
      </c>
      <c r="F92" s="2">
        <v>0.4</v>
      </c>
      <c r="G92" s="2">
        <v>683</v>
      </c>
      <c r="H92" s="2">
        <v>2168.3000000000002</v>
      </c>
      <c r="I92" s="2">
        <v>12.4</v>
      </c>
      <c r="J92" s="2">
        <v>38.9</v>
      </c>
      <c r="K92" s="2">
        <f ca="1">IFERROR(__xludf.DUMMYFUNCTION("IF($A92="""","""", IFERROR(
  INDEX(
    FILTER(IMEX_VN!$B$2:$B$130, MONTH(IMEX_VN!$A$2:$A$130)=MONTH($A92), YEAR(IMEX_VN!$A$2:$A$130)=YEAR($A92)),
    1
  ),
""""))"),0.8)</f>
        <v>0.8</v>
      </c>
      <c r="L92" s="6">
        <v>95</v>
      </c>
      <c r="M92" s="7">
        <v>37.200000000000003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8">
        <v>42645</v>
      </c>
      <c r="B93" s="9">
        <v>22296</v>
      </c>
      <c r="C93" s="2">
        <v>0.8</v>
      </c>
      <c r="D93" s="2">
        <f ca="1">IFERROR(__xludf.DUMMYFUNCTION("IF($A93="""","""", IFERROR(
  INDEX(
    FILTER(CPI_US!$D$2:$D$130, MONTH(CPI_US!$A$2:$A$130)=MONTH($A93), YEAR(CPI_US!$A$2:$A$130)=YEAR($A93)),
    1
  ),
""""))"),1.5)</f>
        <v>1.5</v>
      </c>
      <c r="E93" s="2">
        <v>6.0220000000000002</v>
      </c>
      <c r="F93" s="2">
        <v>0.28999999999999998</v>
      </c>
      <c r="G93" s="2">
        <v>687</v>
      </c>
      <c r="H93" s="2">
        <v>2153.6999999999998</v>
      </c>
      <c r="I93" s="2">
        <v>12.7</v>
      </c>
      <c r="J93" s="2">
        <v>32.9</v>
      </c>
      <c r="K93" s="2">
        <f ca="1">IFERROR(__xludf.DUMMYFUNCTION("IF($A93="""","""", IFERROR(
  INDEX(
    FILTER(IMEX_VN!$B$2:$B$130, MONTH(IMEX_VN!$A$2:$A$130)=MONTH($A93), YEAR(IMEX_VN!$A$2:$A$130)=YEAR($A93)),
    1
  ),
""""))"),-0.4)</f>
        <v>-0.4</v>
      </c>
      <c r="L93" s="6">
        <v>97</v>
      </c>
      <c r="M93" s="7">
        <v>37.200000000000003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8">
        <v>42652</v>
      </c>
      <c r="B94" s="9">
        <v>22301</v>
      </c>
      <c r="C94" s="2">
        <v>0.8</v>
      </c>
      <c r="D94" s="2">
        <f ca="1">IFERROR(__xludf.DUMMYFUNCTION("IF($A94="""","""", IFERROR(
  INDEX(
    FILTER(CPI_US!$D$2:$D$130, MONTH(CPI_US!$A$2:$A$130)=MONTH($A94), YEAR(CPI_US!$A$2:$A$130)=YEAR($A94)),
    1
  ),
""""))"),1.5)</f>
        <v>1.5</v>
      </c>
      <c r="E94" s="2">
        <v>6.0209999999999999</v>
      </c>
      <c r="F94" s="2">
        <v>0.4</v>
      </c>
      <c r="G94" s="2">
        <v>684</v>
      </c>
      <c r="H94" s="2">
        <v>2133</v>
      </c>
      <c r="I94" s="2">
        <v>12.7</v>
      </c>
      <c r="J94" s="2">
        <v>32.9</v>
      </c>
      <c r="K94" s="2">
        <f ca="1">IFERROR(__xludf.DUMMYFUNCTION("IF($A94="""","""", IFERROR(
  INDEX(
    FILTER(IMEX_VN!$B$2:$B$130, MONTH(IMEX_VN!$A$2:$A$130)=MONTH($A94), YEAR(IMEX_VN!$A$2:$A$130)=YEAR($A94)),
    1
  ),
""""))"),-0.4)</f>
        <v>-0.4</v>
      </c>
      <c r="L94" s="6">
        <v>98</v>
      </c>
      <c r="M94" s="7">
        <v>37.200000000000003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8">
        <v>42659</v>
      </c>
      <c r="B95" s="9">
        <v>22314</v>
      </c>
      <c r="C95" s="2">
        <v>0.8</v>
      </c>
      <c r="D95" s="2">
        <f ca="1">IFERROR(__xludf.DUMMYFUNCTION("IF($A95="""","""", IFERROR(
  INDEX(
    FILTER(CPI_US!$D$2:$D$130, MONTH(CPI_US!$A$2:$A$130)=MONTH($A95), YEAR(CPI_US!$A$2:$A$130)=YEAR($A95)),
    1
  ),
""""))"),1.5)</f>
        <v>1.5</v>
      </c>
      <c r="E95" s="2">
        <v>5.992</v>
      </c>
      <c r="F95" s="2">
        <v>0.41</v>
      </c>
      <c r="G95" s="2">
        <v>682</v>
      </c>
      <c r="H95" s="2">
        <v>2141.1999999999998</v>
      </c>
      <c r="I95" s="2">
        <v>12.7</v>
      </c>
      <c r="J95" s="2">
        <v>32.9</v>
      </c>
      <c r="K95" s="2">
        <f ca="1">IFERROR(__xludf.DUMMYFUNCTION("IF($A95="""","""", IFERROR(
  INDEX(
    FILTER(IMEX_VN!$B$2:$B$130, MONTH(IMEX_VN!$A$2:$A$130)=MONTH($A95), YEAR(IMEX_VN!$A$2:$A$130)=YEAR($A95)),
    1
  ),
""""))"),-0.4)</f>
        <v>-0.4</v>
      </c>
      <c r="L95" s="6">
        <v>99</v>
      </c>
      <c r="M95" s="7">
        <v>37.200000000000003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8">
        <v>42666</v>
      </c>
      <c r="B96" s="9">
        <v>22318</v>
      </c>
      <c r="C96" s="2">
        <v>0.8</v>
      </c>
      <c r="D96" s="2">
        <f ca="1">IFERROR(__xludf.DUMMYFUNCTION("IF($A96="""","""", IFERROR(
  INDEX(
    FILTER(CPI_US!$D$2:$D$130, MONTH(CPI_US!$A$2:$A$130)=MONTH($A96), YEAR(CPI_US!$A$2:$A$130)=YEAR($A96)),
    1
  ),
""""))"),1.5)</f>
        <v>1.5</v>
      </c>
      <c r="E96" s="2">
        <v>5.9729999999999999</v>
      </c>
      <c r="F96" s="2">
        <v>0.41</v>
      </c>
      <c r="G96" s="2">
        <v>666</v>
      </c>
      <c r="H96" s="2">
        <v>2126.4</v>
      </c>
      <c r="I96" s="2">
        <v>12.7</v>
      </c>
      <c r="J96" s="2">
        <v>32.9</v>
      </c>
      <c r="K96" s="2">
        <f ca="1">IFERROR(__xludf.DUMMYFUNCTION("IF($A96="""","""", IFERROR(
  INDEX(
    FILTER(IMEX_VN!$B$2:$B$130, MONTH(IMEX_VN!$A$2:$A$130)=MONTH($A96), YEAR(IMEX_VN!$A$2:$A$130)=YEAR($A96)),
    1
  ),
""""))"),-0.4)</f>
        <v>-0.4</v>
      </c>
      <c r="L96" s="6">
        <v>98</v>
      </c>
      <c r="M96" s="7">
        <v>37.200000000000003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8">
        <v>42673</v>
      </c>
      <c r="B97" s="9">
        <v>22316</v>
      </c>
      <c r="C97" s="2">
        <v>0.8</v>
      </c>
      <c r="D97" s="2">
        <f ca="1">IFERROR(__xludf.DUMMYFUNCTION("IF($A97="""","""", IFERROR(
  INDEX(
    FILTER(CPI_US!$D$2:$D$130, MONTH(CPI_US!$A$2:$A$130)=MONTH($A97), YEAR(CPI_US!$A$2:$A$130)=YEAR($A97)),
    1
  ),
""""))"),1.5)</f>
        <v>1.5</v>
      </c>
      <c r="E97" s="2">
        <v>5.9740000000000002</v>
      </c>
      <c r="F97" s="2">
        <v>0.41</v>
      </c>
      <c r="G97" s="2">
        <v>679</v>
      </c>
      <c r="H97" s="2">
        <v>2085.1999999999998</v>
      </c>
      <c r="I97" s="2">
        <v>12.7</v>
      </c>
      <c r="J97" s="2">
        <v>32.9</v>
      </c>
      <c r="K97" s="2">
        <f ca="1">IFERROR(__xludf.DUMMYFUNCTION("IF($A97="""","""", IFERROR(
  INDEX(
    FILTER(IMEX_VN!$B$2:$B$130, MONTH(IMEX_VN!$A$2:$A$130)=MONTH($A97), YEAR(IMEX_VN!$A$2:$A$130)=YEAR($A97)),
    1
  ),
""""))"),-0.4)</f>
        <v>-0.4</v>
      </c>
      <c r="L97" s="6">
        <v>97</v>
      </c>
      <c r="M97" s="7">
        <v>37.200000000000003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8">
        <v>42680</v>
      </c>
      <c r="B98" s="9">
        <v>22330</v>
      </c>
      <c r="C98" s="2">
        <v>0.5</v>
      </c>
      <c r="D98" s="2">
        <f ca="1">IFERROR(__xludf.DUMMYFUNCTION("IF($A98="""","""", IFERROR(
  INDEX(
    FILTER(CPI_US!$D$2:$D$130, MONTH(CPI_US!$A$2:$A$130)=MONTH($A98), YEAR(CPI_US!$A$2:$A$130)=YEAR($A98)),
    1
  ),
""""))"),1.6)</f>
        <v>1.6</v>
      </c>
      <c r="E98" s="2">
        <v>5.9909999999999997</v>
      </c>
      <c r="F98" s="2">
        <v>0.41</v>
      </c>
      <c r="G98" s="2">
        <v>673</v>
      </c>
      <c r="H98" s="2">
        <v>2164.4</v>
      </c>
      <c r="I98" s="2">
        <v>14.3</v>
      </c>
      <c r="J98" s="2">
        <v>32.9</v>
      </c>
      <c r="K98" s="2">
        <f ca="1">IFERROR(__xludf.DUMMYFUNCTION("IF($A98="""","""", IFERROR(
  INDEX(
    FILTER(IMEX_VN!$B$2:$B$130, MONTH(IMEX_VN!$A$2:$A$130)=MONTH($A98), YEAR(IMEX_VN!$A$2:$A$130)=YEAR($A98)),
    1
  ),
""""))"),-0.299999999999997)</f>
        <v>-0.29999999999999699</v>
      </c>
      <c r="L98" s="6">
        <v>99</v>
      </c>
      <c r="M98" s="7">
        <v>37.200000000000003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8">
        <v>42687</v>
      </c>
      <c r="B99" s="9">
        <v>22490</v>
      </c>
      <c r="C99" s="2">
        <v>0.5</v>
      </c>
      <c r="D99" s="2">
        <f ca="1">IFERROR(__xludf.DUMMYFUNCTION("IF($A99="""","""", IFERROR(
  INDEX(
    FILTER(CPI_US!$D$2:$D$130, MONTH(CPI_US!$A$2:$A$130)=MONTH($A99), YEAR(CPI_US!$A$2:$A$130)=YEAR($A99)),
    1
  ),
""""))"),1.6)</f>
        <v>1.6</v>
      </c>
      <c r="E99" s="2">
        <v>6.0970000000000004</v>
      </c>
      <c r="F99" s="2">
        <v>0.41</v>
      </c>
      <c r="G99" s="2">
        <v>675</v>
      </c>
      <c r="H99" s="2">
        <v>2181.9</v>
      </c>
      <c r="I99" s="2">
        <v>14.3</v>
      </c>
      <c r="J99" s="2">
        <v>32.9</v>
      </c>
      <c r="K99" s="2">
        <f ca="1">IFERROR(__xludf.DUMMYFUNCTION("IF($A99="""","""", IFERROR(
  INDEX(
    FILTER(IMEX_VN!$B$2:$B$130, MONTH(IMEX_VN!$A$2:$A$130)=MONTH($A99), YEAR(IMEX_VN!$A$2:$A$130)=YEAR($A99)),
    1
  ),
""""))"),-0.299999999999997)</f>
        <v>-0.29999999999999699</v>
      </c>
      <c r="L99" s="6">
        <v>101</v>
      </c>
      <c r="M99" s="7">
        <v>37.200000000000003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8">
        <v>42694</v>
      </c>
      <c r="B100" s="9">
        <v>22748</v>
      </c>
      <c r="C100" s="2">
        <v>0.5</v>
      </c>
      <c r="D100" s="2">
        <f ca="1">IFERROR(__xludf.DUMMYFUNCTION("IF($A100="""","""", IFERROR(
  INDEX(
    FILTER(CPI_US!$D$2:$D$130, MONTH(CPI_US!$A$2:$A$130)=MONTH($A100), YEAR(CPI_US!$A$2:$A$130)=YEAR($A100)),
    1
  ),
""""))"),1.6)</f>
        <v>1.6</v>
      </c>
      <c r="E100" s="2">
        <v>6.06</v>
      </c>
      <c r="F100" s="2">
        <v>0.41</v>
      </c>
      <c r="G100" s="2">
        <v>665</v>
      </c>
      <c r="H100" s="2">
        <v>2213.3000000000002</v>
      </c>
      <c r="I100" s="2">
        <v>14.3</v>
      </c>
      <c r="J100" s="2">
        <v>32.9</v>
      </c>
      <c r="K100" s="2">
        <f ca="1">IFERROR(__xludf.DUMMYFUNCTION("IF($A100="""","""", IFERROR(
  INDEX(
    FILTER(IMEX_VN!$B$2:$B$130, MONTH(IMEX_VN!$A$2:$A$130)=MONTH($A100), YEAR(IMEX_VN!$A$2:$A$130)=YEAR($A100)),
    1
  ),
""""))"),-0.299999999999997)</f>
        <v>-0.29999999999999699</v>
      </c>
      <c r="L100" s="6">
        <v>101</v>
      </c>
      <c r="M100" s="7">
        <v>37.200000000000003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8">
        <v>42701</v>
      </c>
      <c r="B101" s="9">
        <v>22695</v>
      </c>
      <c r="C101" s="2">
        <v>0.5</v>
      </c>
      <c r="D101" s="2">
        <f ca="1">IFERROR(__xludf.DUMMYFUNCTION("IF($A101="""","""", IFERROR(
  INDEX(
    FILTER(CPI_US!$D$2:$D$130, MONTH(CPI_US!$A$2:$A$130)=MONTH($A101), YEAR(CPI_US!$A$2:$A$130)=YEAR($A101)),
    1
  ),
""""))"),1.6)</f>
        <v>1.6</v>
      </c>
      <c r="E101" s="2">
        <v>6.0510000000000002</v>
      </c>
      <c r="F101" s="2">
        <v>0.41</v>
      </c>
      <c r="G101" s="2">
        <v>663</v>
      </c>
      <c r="H101" s="2">
        <v>2191.9</v>
      </c>
      <c r="I101" s="2">
        <v>14.3</v>
      </c>
      <c r="J101" s="2">
        <v>32.9</v>
      </c>
      <c r="K101" s="2">
        <f ca="1">IFERROR(__xludf.DUMMYFUNCTION("IF($A101="""","""", IFERROR(
  INDEX(
    FILTER(IMEX_VN!$B$2:$B$130, MONTH(IMEX_VN!$A$2:$A$130)=MONTH($A101), YEAR(IMEX_VN!$A$2:$A$130)=YEAR($A101)),
    1
  ),
""""))"),-0.299999999999997)</f>
        <v>-0.29999999999999699</v>
      </c>
      <c r="L101" s="6">
        <v>101</v>
      </c>
      <c r="M101" s="7">
        <v>37.200000000000003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8">
        <v>42708</v>
      </c>
      <c r="B102" s="9">
        <v>22592</v>
      </c>
      <c r="C102" s="2">
        <v>0.2</v>
      </c>
      <c r="D102" s="2">
        <f ca="1">IFERROR(__xludf.DUMMYFUNCTION("IF($A102="""","""", IFERROR(
  INDEX(
    FILTER(CPI_US!$D$2:$D$130, MONTH(CPI_US!$A$2:$A$130)=MONTH($A102), YEAR(CPI_US!$A$2:$A$130)=YEAR($A102)),
    1
  ),
""""))"),1.7)</f>
        <v>1.7</v>
      </c>
      <c r="E102" s="2">
        <v>6.0380000000000003</v>
      </c>
      <c r="F102" s="2">
        <v>0.41</v>
      </c>
      <c r="G102" s="2">
        <v>675</v>
      </c>
      <c r="H102" s="2">
        <v>2259.5</v>
      </c>
      <c r="I102" s="2">
        <v>15.8</v>
      </c>
      <c r="J102" s="2">
        <v>32.9</v>
      </c>
      <c r="K102" s="2">
        <f ca="1">IFERROR(__xludf.DUMMYFUNCTION("IF($A102="""","""", IFERROR(
  INDEX(
    FILTER(IMEX_VN!$B$2:$B$130, MONTH(IMEX_VN!$A$2:$A$130)=MONTH($A102), YEAR(IMEX_VN!$A$2:$A$130)=YEAR($A102)),
    1
  ),
""""))"),-0.5)</f>
        <v>-0.5</v>
      </c>
      <c r="L102" s="6">
        <v>102</v>
      </c>
      <c r="M102" s="7">
        <v>36.200000000000003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8">
        <v>42715</v>
      </c>
      <c r="B103" s="9">
        <v>22750</v>
      </c>
      <c r="C103" s="2">
        <v>0.2</v>
      </c>
      <c r="D103" s="2">
        <f ca="1">IFERROR(__xludf.DUMMYFUNCTION("IF($A103="""","""", IFERROR(
  INDEX(
    FILTER(CPI_US!$D$2:$D$130, MONTH(CPI_US!$A$2:$A$130)=MONTH($A103), YEAR(CPI_US!$A$2:$A$130)=YEAR($A103)),
    1
  ),
""""))"),1.7)</f>
        <v>1.7</v>
      </c>
      <c r="E103" s="2">
        <v>6.1070000000000002</v>
      </c>
      <c r="F103" s="2">
        <v>0.41</v>
      </c>
      <c r="G103" s="2">
        <v>664</v>
      </c>
      <c r="H103" s="2">
        <v>2258.1</v>
      </c>
      <c r="I103" s="2">
        <v>15.8</v>
      </c>
      <c r="J103" s="2">
        <v>32.9</v>
      </c>
      <c r="K103" s="2">
        <f ca="1">IFERROR(__xludf.DUMMYFUNCTION("IF($A103="""","""", IFERROR(
  INDEX(
    FILTER(IMEX_VN!$B$2:$B$130, MONTH(IMEX_VN!$A$2:$A$130)=MONTH($A103), YEAR(IMEX_VN!$A$2:$A$130)=YEAR($A103)),
    1
  ),
""""))"),-0.5)</f>
        <v>-0.5</v>
      </c>
      <c r="L103" s="6">
        <v>103</v>
      </c>
      <c r="M103" s="7">
        <v>36.200000000000003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8">
        <v>42722</v>
      </c>
      <c r="B104" s="9">
        <v>22759</v>
      </c>
      <c r="C104" s="2">
        <v>0.2</v>
      </c>
      <c r="D104" s="2">
        <f ca="1">IFERROR(__xludf.DUMMYFUNCTION("IF($A104="""","""", IFERROR(
  INDEX(
    FILTER(CPI_US!$D$2:$D$130, MONTH(CPI_US!$A$2:$A$130)=MONTH($A104), YEAR(CPI_US!$A$2:$A$130)=YEAR($A104)),
    1
  ),
""""))"),1.7)</f>
        <v>1.7</v>
      </c>
      <c r="E104" s="2">
        <v>6.1029999999999998</v>
      </c>
      <c r="F104" s="2">
        <v>0.66</v>
      </c>
      <c r="G104" s="2">
        <v>664</v>
      </c>
      <c r="H104" s="2">
        <v>2263.8000000000002</v>
      </c>
      <c r="I104" s="2">
        <v>15.8</v>
      </c>
      <c r="J104" s="2">
        <v>32.9</v>
      </c>
      <c r="K104" s="2">
        <f ca="1">IFERROR(__xludf.DUMMYFUNCTION("IF($A104="""","""", IFERROR(
  INDEX(
    FILTER(IMEX_VN!$B$2:$B$130, MONTH(IMEX_VN!$A$2:$A$130)=MONTH($A104), YEAR(IMEX_VN!$A$2:$A$130)=YEAR($A104)),
    1
  ),
""""))"),-0.5)</f>
        <v>-0.5</v>
      </c>
      <c r="L104" s="6">
        <v>103</v>
      </c>
      <c r="M104" s="7">
        <v>36.200000000000003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8">
        <v>42729</v>
      </c>
      <c r="B105" s="9">
        <v>22771</v>
      </c>
      <c r="C105" s="2">
        <v>0.2</v>
      </c>
      <c r="D105" s="2">
        <f ca="1">IFERROR(__xludf.DUMMYFUNCTION("IF($A105="""","""", IFERROR(
  INDEX(
    FILTER(CPI_US!$D$2:$D$130, MONTH(CPI_US!$A$2:$A$130)=MONTH($A105), YEAR(CPI_US!$A$2:$A$130)=YEAR($A105)),
    1
  ),
""""))"),1.7)</f>
        <v>1.7</v>
      </c>
      <c r="E105" s="2">
        <v>6.0949999999999998</v>
      </c>
      <c r="F105" s="2">
        <v>0.66</v>
      </c>
      <c r="G105" s="2">
        <v>679</v>
      </c>
      <c r="H105" s="2">
        <v>2238.8000000000002</v>
      </c>
      <c r="I105" s="2">
        <v>15.8</v>
      </c>
      <c r="J105" s="2">
        <v>32.9</v>
      </c>
      <c r="K105" s="2">
        <f ca="1">IFERROR(__xludf.DUMMYFUNCTION("IF($A105="""","""", IFERROR(
  INDEX(
    FILTER(IMEX_VN!$B$2:$B$130, MONTH(IMEX_VN!$A$2:$A$130)=MONTH($A105), YEAR(IMEX_VN!$A$2:$A$130)=YEAR($A105)),
    1
  ),
""""))"),-0.5)</f>
        <v>-0.5</v>
      </c>
      <c r="L105" s="6">
        <v>102</v>
      </c>
      <c r="M105" s="7">
        <v>36.200000000000003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8">
        <v>42736</v>
      </c>
      <c r="B106" s="9">
        <v>22562</v>
      </c>
      <c r="C106" s="2">
        <v>0.5</v>
      </c>
      <c r="D106" s="2">
        <f ca="1">IFERROR(__xludf.DUMMYFUNCTION("IF($A106="""","""", IFERROR(
  INDEX(
    FILTER(CPI_US!$D$2:$D$130, MONTH(CPI_US!$A$2:$A$130)=MONTH($A106), YEAR(CPI_US!$A$2:$A$130)=YEAR($A106)),
    1
  ),
""""))"),2.1)</f>
        <v>2.1</v>
      </c>
      <c r="E106" s="2">
        <v>6.1029999999999998</v>
      </c>
      <c r="F106" s="2">
        <v>0.55000000000000004</v>
      </c>
      <c r="G106" s="2">
        <v>685</v>
      </c>
      <c r="H106" s="2">
        <v>2277</v>
      </c>
      <c r="I106" s="2">
        <v>0.85</v>
      </c>
      <c r="J106" s="2">
        <v>36.299999999999997</v>
      </c>
      <c r="K106" s="2">
        <f ca="1">IFERROR(__xludf.DUMMYFUNCTION("IF($A106="""","""", IFERROR(
  INDEX(
    FILTER(IMEX_VN!$B$2:$B$130, MONTH(IMEX_VN!$A$2:$A$130)=MONTH($A106), YEAR(IMEX_VN!$A$2:$A$130)=YEAR($A106)),
    1
  ),
""""))"),1.1)</f>
        <v>1.1000000000000001</v>
      </c>
      <c r="L106" s="6">
        <v>102</v>
      </c>
      <c r="M106" s="7">
        <v>37.6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8">
        <v>42743</v>
      </c>
      <c r="B107" s="9">
        <v>22570</v>
      </c>
      <c r="C107" s="2">
        <v>0.5</v>
      </c>
      <c r="D107" s="2">
        <f ca="1">IFERROR(__xludf.DUMMYFUNCTION("IF($A107="""","""", IFERROR(
  INDEX(
    FILTER(CPI_US!$D$2:$D$130, MONTH(CPI_US!$A$2:$A$130)=MONTH($A107), YEAR(CPI_US!$A$2:$A$130)=YEAR($A107)),
    1
  ),
""""))"),2.1)</f>
        <v>2.1</v>
      </c>
      <c r="E107" s="2">
        <v>6.0510000000000002</v>
      </c>
      <c r="F107" s="2">
        <v>0.66</v>
      </c>
      <c r="G107" s="2">
        <v>686</v>
      </c>
      <c r="H107" s="2">
        <v>2274.6</v>
      </c>
      <c r="I107" s="2">
        <v>0.85</v>
      </c>
      <c r="J107" s="2">
        <v>36.299999999999997</v>
      </c>
      <c r="K107" s="2">
        <f ca="1">IFERROR(__xludf.DUMMYFUNCTION("IF($A107="""","""", IFERROR(
  INDEX(
    FILTER(IMEX_VN!$B$2:$B$130, MONTH(IMEX_VN!$A$2:$A$130)=MONTH($A107), YEAR(IMEX_VN!$A$2:$A$130)=YEAR($A107)),
    1
  ),
""""))"),1.1)</f>
        <v>1.1000000000000001</v>
      </c>
      <c r="L107" s="6">
        <v>101</v>
      </c>
      <c r="M107" s="7">
        <v>37.6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8">
        <v>42750</v>
      </c>
      <c r="B108" s="9">
        <v>22571</v>
      </c>
      <c r="C108" s="2">
        <v>0.5</v>
      </c>
      <c r="D108" s="2">
        <f ca="1">IFERROR(__xludf.DUMMYFUNCTION("IF($A108="""","""", IFERROR(
  INDEX(
    FILTER(CPI_US!$D$2:$D$130, MONTH(CPI_US!$A$2:$A$130)=MONTH($A108), YEAR(CPI_US!$A$2:$A$130)=YEAR($A108)),
    1
  ),
""""))"),2.1)</f>
        <v>2.1</v>
      </c>
      <c r="E108" s="2">
        <v>6.0350000000000001</v>
      </c>
      <c r="F108" s="2">
        <v>0.66</v>
      </c>
      <c r="G108" s="2">
        <v>697</v>
      </c>
      <c r="H108" s="2">
        <v>2271.3000000000002</v>
      </c>
      <c r="I108" s="2">
        <v>0.85</v>
      </c>
      <c r="J108" s="2">
        <v>36.299999999999997</v>
      </c>
      <c r="K108" s="2">
        <f ca="1">IFERROR(__xludf.DUMMYFUNCTION("IF($A108="""","""", IFERROR(
  INDEX(
    FILTER(IMEX_VN!$B$2:$B$130, MONTH(IMEX_VN!$A$2:$A$130)=MONTH($A108), YEAR(IMEX_VN!$A$2:$A$130)=YEAR($A108)),
    1
  ),
""""))"),1.1)</f>
        <v>1.1000000000000001</v>
      </c>
      <c r="L108" s="6">
        <v>101</v>
      </c>
      <c r="M108" s="7">
        <v>37.6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8">
        <v>42757</v>
      </c>
      <c r="B109" s="9">
        <v>22592</v>
      </c>
      <c r="C109" s="2">
        <v>0.5</v>
      </c>
      <c r="D109" s="2">
        <f ca="1">IFERROR(__xludf.DUMMYFUNCTION("IF($A109="""","""", IFERROR(
  INDEX(
    FILTER(CPI_US!$D$2:$D$130, MONTH(CPI_US!$A$2:$A$130)=MONTH($A109), YEAR(CPI_US!$A$2:$A$130)=YEAR($A109)),
    1
  ),
""""))"),2.1)</f>
        <v>2.1</v>
      </c>
      <c r="E109" s="2">
        <v>6.01</v>
      </c>
      <c r="F109" s="2">
        <v>0.66</v>
      </c>
      <c r="G109" s="2">
        <v>700</v>
      </c>
      <c r="H109" s="2">
        <v>2294.6999999999998</v>
      </c>
      <c r="I109" s="2">
        <v>0.85</v>
      </c>
      <c r="J109" s="2">
        <v>36.299999999999997</v>
      </c>
      <c r="K109" s="2">
        <f ca="1">IFERROR(__xludf.DUMMYFUNCTION("IF($A109="""","""", IFERROR(
  INDEX(
    FILTER(IMEX_VN!$B$2:$B$130, MONTH(IMEX_VN!$A$2:$A$130)=MONTH($A109), YEAR(IMEX_VN!$A$2:$A$130)=YEAR($A109)),
    1
  ),
""""))"),1.1)</f>
        <v>1.1000000000000001</v>
      </c>
      <c r="L109" s="6">
        <v>101</v>
      </c>
      <c r="M109" s="7">
        <v>37.6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8">
        <v>42764</v>
      </c>
      <c r="B110" s="9">
        <v>22625</v>
      </c>
      <c r="C110" s="2">
        <v>0.5</v>
      </c>
      <c r="D110" s="2">
        <f ca="1">IFERROR(__xludf.DUMMYFUNCTION("IF($A110="""","""", IFERROR(
  INDEX(
    FILTER(CPI_US!$D$2:$D$130, MONTH(CPI_US!$A$2:$A$130)=MONTH($A110), YEAR(CPI_US!$A$2:$A$130)=YEAR($A110)),
    1
  ),
""""))"),2.1)</f>
        <v>2.1</v>
      </c>
      <c r="E110" s="2">
        <v>5.9950000000000001</v>
      </c>
      <c r="F110" s="2">
        <v>0.66</v>
      </c>
      <c r="G110" s="2">
        <v>703</v>
      </c>
      <c r="H110" s="2">
        <v>2297.4</v>
      </c>
      <c r="I110" s="2">
        <v>0.85</v>
      </c>
      <c r="J110" s="2">
        <v>36.299999999999997</v>
      </c>
      <c r="K110" s="2">
        <f ca="1">IFERROR(__xludf.DUMMYFUNCTION("IF($A110="""","""", IFERROR(
  INDEX(
    FILTER(IMEX_VN!$B$2:$B$130, MONTH(IMEX_VN!$A$2:$A$130)=MONTH($A110), YEAR(IMEX_VN!$A$2:$A$130)=YEAR($A110)),
    1
  ),
""""))"),1.1)</f>
        <v>1.1000000000000001</v>
      </c>
      <c r="L110" s="6">
        <v>100</v>
      </c>
      <c r="M110" s="7">
        <v>37.6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8">
        <v>42771</v>
      </c>
      <c r="B111" s="9">
        <v>22645</v>
      </c>
      <c r="C111" s="2">
        <v>0.2</v>
      </c>
      <c r="D111" s="2">
        <f ca="1">IFERROR(__xludf.DUMMYFUNCTION("IF($A111="""","""", IFERROR(
  INDEX(
    FILTER(CPI_US!$D$2:$D$130, MONTH(CPI_US!$A$2:$A$130)=MONTH($A111), YEAR(CPI_US!$A$2:$A$130)=YEAR($A111)),
    1
  ),
""""))"),2.5)</f>
        <v>2.5</v>
      </c>
      <c r="E111" s="2">
        <v>5.94</v>
      </c>
      <c r="F111" s="2">
        <v>0.66</v>
      </c>
      <c r="G111" s="2">
        <v>707</v>
      </c>
      <c r="H111" s="2">
        <v>2316.1</v>
      </c>
      <c r="I111" s="2">
        <v>1.55</v>
      </c>
      <c r="J111" s="2">
        <v>36.299999999999997</v>
      </c>
      <c r="K111" s="2">
        <f ca="1">IFERROR(__xludf.DUMMYFUNCTION("IF($A111="""","""", IFERROR(
  INDEX(
    FILTER(IMEX_VN!$B$2:$B$130, MONTH(IMEX_VN!$A$2:$A$130)=MONTH($A111), YEAR(IMEX_VN!$A$2:$A$130)=YEAR($A111)),
    1
  ),
""""))"),-2.09999999999999)</f>
        <v>-2.0999999999999899</v>
      </c>
      <c r="L111" s="6">
        <v>101</v>
      </c>
      <c r="M111" s="7">
        <v>37.299999999999997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8">
        <v>42778</v>
      </c>
      <c r="B112" s="9">
        <v>22795</v>
      </c>
      <c r="C112" s="2">
        <v>0.2</v>
      </c>
      <c r="D112" s="2">
        <f ca="1">IFERROR(__xludf.DUMMYFUNCTION("IF($A112="""","""", IFERROR(
  INDEX(
    FILTER(CPI_US!$D$2:$D$130, MONTH(CPI_US!$A$2:$A$130)=MONTH($A112), YEAR(CPI_US!$A$2:$A$130)=YEAR($A112)),
    1
  ),
""""))"),2.5)</f>
        <v>2.5</v>
      </c>
      <c r="E112" s="2">
        <v>5.9020000000000001</v>
      </c>
      <c r="F112" s="2">
        <v>0.66</v>
      </c>
      <c r="G112" s="2">
        <v>714</v>
      </c>
      <c r="H112" s="2">
        <v>2351.1999999999998</v>
      </c>
      <c r="I112" s="2">
        <v>1.55</v>
      </c>
      <c r="J112" s="2">
        <v>36.299999999999997</v>
      </c>
      <c r="K112" s="2">
        <f ca="1">IFERROR(__xludf.DUMMYFUNCTION("IF($A112="""","""", IFERROR(
  INDEX(
    FILTER(IMEX_VN!$B$2:$B$130, MONTH(IMEX_VN!$A$2:$A$130)=MONTH($A112), YEAR(IMEX_VN!$A$2:$A$130)=YEAR($A112)),
    1
  ),
""""))"),-2.09999999999999)</f>
        <v>-2.0999999999999899</v>
      </c>
      <c r="L112" s="6">
        <v>101</v>
      </c>
      <c r="M112" s="7">
        <v>37.299999999999997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8">
        <v>42785</v>
      </c>
      <c r="B113" s="9">
        <v>22816</v>
      </c>
      <c r="C113" s="2">
        <v>0.2</v>
      </c>
      <c r="D113" s="2">
        <f ca="1">IFERROR(__xludf.DUMMYFUNCTION("IF($A113="""","""", IFERROR(
  INDEX(
    FILTER(CPI_US!$D$2:$D$130, MONTH(CPI_US!$A$2:$A$130)=MONTH($A113), YEAR(CPI_US!$A$2:$A$130)=YEAR($A113)),
    1
  ),
""""))"),2.5)</f>
        <v>2.5</v>
      </c>
      <c r="E113" s="2">
        <v>5.8940000000000001</v>
      </c>
      <c r="F113" s="2">
        <v>0.66</v>
      </c>
      <c r="G113" s="2">
        <v>712</v>
      </c>
      <c r="H113" s="2">
        <v>2367.3000000000002</v>
      </c>
      <c r="I113" s="2">
        <v>1.55</v>
      </c>
      <c r="J113" s="2">
        <v>36.299999999999997</v>
      </c>
      <c r="K113" s="2">
        <f ca="1">IFERROR(__xludf.DUMMYFUNCTION("IF($A113="""","""", IFERROR(
  INDEX(
    FILTER(IMEX_VN!$B$2:$B$130, MONTH(IMEX_VN!$A$2:$A$130)=MONTH($A113), YEAR(IMEX_VN!$A$2:$A$130)=YEAR($A113)),
    1
  ),
""""))"),-2.09999999999999)</f>
        <v>-2.0999999999999899</v>
      </c>
      <c r="L113" s="6">
        <v>101</v>
      </c>
      <c r="M113" s="7">
        <v>37.299999999999997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8">
        <v>42792</v>
      </c>
      <c r="B114" s="9">
        <v>22842</v>
      </c>
      <c r="C114" s="2">
        <v>0.2</v>
      </c>
      <c r="D114" s="2">
        <f ca="1">IFERROR(__xludf.DUMMYFUNCTION("IF($A114="""","""", IFERROR(
  INDEX(
    FILTER(CPI_US!$D$2:$D$130, MONTH(CPI_US!$A$2:$A$130)=MONTH($A114), YEAR(CPI_US!$A$2:$A$130)=YEAR($A114)),
    1
  ),
""""))"),2.5)</f>
        <v>2.5</v>
      </c>
      <c r="E114" s="2">
        <v>5.8819999999999997</v>
      </c>
      <c r="F114" s="2">
        <v>0.66</v>
      </c>
      <c r="G114" s="2">
        <v>712</v>
      </c>
      <c r="H114" s="2">
        <v>2383.1</v>
      </c>
      <c r="I114" s="2">
        <v>1.55</v>
      </c>
      <c r="J114" s="2">
        <v>36.299999999999997</v>
      </c>
      <c r="K114" s="2">
        <f ca="1">IFERROR(__xludf.DUMMYFUNCTION("IF($A114="""","""", IFERROR(
  INDEX(
    FILTER(IMEX_VN!$B$2:$B$130, MONTH(IMEX_VN!$A$2:$A$130)=MONTH($A114), YEAR(IMEX_VN!$A$2:$A$130)=YEAR($A114)),
    1
  ),
""""))"),-2.09999999999999)</f>
        <v>-2.0999999999999899</v>
      </c>
      <c r="L114" s="6">
        <v>102</v>
      </c>
      <c r="M114" s="7">
        <v>37.299999999999997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8">
        <v>42799</v>
      </c>
      <c r="B115" s="9">
        <v>22800</v>
      </c>
      <c r="C115" s="2">
        <v>0.2</v>
      </c>
      <c r="D115" s="2">
        <f ca="1">IFERROR(__xludf.DUMMYFUNCTION("IF($A115="""","""", IFERROR(
  INDEX(
    FILTER(CPI_US!$D$2:$D$130, MONTH(CPI_US!$A$2:$A$130)=MONTH($A115), YEAR(CPI_US!$A$2:$A$130)=YEAR($A115)),
    1
  ),
""""))"),2.7)</f>
        <v>2.7</v>
      </c>
      <c r="E115" s="2">
        <v>5.8710000000000004</v>
      </c>
      <c r="F115" s="2">
        <v>0.66</v>
      </c>
      <c r="G115" s="2">
        <v>710</v>
      </c>
      <c r="H115" s="2">
        <v>2372.6</v>
      </c>
      <c r="I115" s="2">
        <v>3.62</v>
      </c>
      <c r="J115" s="2">
        <v>36.299999999999997</v>
      </c>
      <c r="K115" s="2">
        <f ca="1">IFERROR(__xludf.DUMMYFUNCTION("IF($A115="""","""", IFERROR(
  INDEX(
    FILTER(IMEX_VN!$B$2:$B$130, MONTH(IMEX_VN!$A$2:$A$130)=MONTH($A115), YEAR(IMEX_VN!$A$2:$A$130)=YEAR($A115)),
    1
  ),
""""))"),-1.1)</f>
        <v>-1.1000000000000001</v>
      </c>
      <c r="L115" s="6">
        <v>101</v>
      </c>
      <c r="M115" s="7">
        <v>37.5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8">
        <v>42806</v>
      </c>
      <c r="B116" s="9">
        <v>22783</v>
      </c>
      <c r="C116" s="2">
        <v>0.2</v>
      </c>
      <c r="D116" s="2">
        <f ca="1">IFERROR(__xludf.DUMMYFUNCTION("IF($A116="""","""", IFERROR(
  INDEX(
    FILTER(CPI_US!$D$2:$D$130, MONTH(CPI_US!$A$2:$A$130)=MONTH($A116), YEAR(CPI_US!$A$2:$A$130)=YEAR($A116)),
    1
  ),
""""))"),2.7)</f>
        <v>2.7</v>
      </c>
      <c r="E116" s="2">
        <v>5.8410000000000002</v>
      </c>
      <c r="F116" s="2">
        <v>0.66</v>
      </c>
      <c r="G116" s="2">
        <v>722</v>
      </c>
      <c r="H116" s="2">
        <v>2378.1999999999998</v>
      </c>
      <c r="I116" s="2">
        <v>3.62</v>
      </c>
      <c r="J116" s="2">
        <v>36.299999999999997</v>
      </c>
      <c r="K116" s="2">
        <f ca="1">IFERROR(__xludf.DUMMYFUNCTION("IF($A116="""","""", IFERROR(
  INDEX(
    FILTER(IMEX_VN!$B$2:$B$130, MONTH(IMEX_VN!$A$2:$A$130)=MONTH($A116), YEAR(IMEX_VN!$A$2:$A$130)=YEAR($A116)),
    1
  ),
""""))"),-1.1)</f>
        <v>-1.1000000000000001</v>
      </c>
      <c r="L116" s="6">
        <v>100</v>
      </c>
      <c r="M116" s="7">
        <v>37.5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8">
        <v>42813</v>
      </c>
      <c r="B117" s="9">
        <v>22787</v>
      </c>
      <c r="C117" s="2">
        <v>0.2</v>
      </c>
      <c r="D117" s="2">
        <f ca="1">IFERROR(__xludf.DUMMYFUNCTION("IF($A117="""","""", IFERROR(
  INDEX(
    FILTER(CPI_US!$D$2:$D$130, MONTH(CPI_US!$A$2:$A$130)=MONTH($A117), YEAR(CPI_US!$A$2:$A$130)=YEAR($A117)),
    1
  ),
""""))"),2.7)</f>
        <v>2.7</v>
      </c>
      <c r="E117" s="2">
        <v>5.8319999999999999</v>
      </c>
      <c r="F117" s="2">
        <v>0.91</v>
      </c>
      <c r="G117" s="2">
        <v>722</v>
      </c>
      <c r="H117" s="2">
        <v>2344</v>
      </c>
      <c r="I117" s="2">
        <v>3.62</v>
      </c>
      <c r="J117" s="2">
        <v>36.299999999999997</v>
      </c>
      <c r="K117" s="2">
        <f ca="1">IFERROR(__xludf.DUMMYFUNCTION("IF($A117="""","""", IFERROR(
  INDEX(
    FILTER(IMEX_VN!$B$2:$B$130, MONTH(IMEX_VN!$A$2:$A$130)=MONTH($A117), YEAR(IMEX_VN!$A$2:$A$130)=YEAR($A117)),
    1
  ),
""""))"),-1.1)</f>
        <v>-1.1000000000000001</v>
      </c>
      <c r="L117" s="6">
        <v>100</v>
      </c>
      <c r="M117" s="7">
        <v>37.5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8">
        <v>42820</v>
      </c>
      <c r="B118" s="9">
        <v>22755</v>
      </c>
      <c r="C118" s="2">
        <v>0.2</v>
      </c>
      <c r="D118" s="2">
        <f ca="1">IFERROR(__xludf.DUMMYFUNCTION("IF($A118="""","""", IFERROR(
  INDEX(
    FILTER(CPI_US!$D$2:$D$130, MONTH(CPI_US!$A$2:$A$130)=MONTH($A118), YEAR(CPI_US!$A$2:$A$130)=YEAR($A118)),
    1
  ),
""""))"),2.7)</f>
        <v>2.7</v>
      </c>
      <c r="E118" s="2">
        <v>5.8259999999999996</v>
      </c>
      <c r="F118" s="2">
        <v>0.91</v>
      </c>
      <c r="G118" s="2">
        <v>727</v>
      </c>
      <c r="H118" s="2">
        <v>2362.6999999999998</v>
      </c>
      <c r="I118" s="2">
        <v>3.62</v>
      </c>
      <c r="J118" s="2">
        <v>36.299999999999997</v>
      </c>
      <c r="K118" s="2">
        <f ca="1">IFERROR(__xludf.DUMMYFUNCTION("IF($A118="""","""", IFERROR(
  INDEX(
    FILTER(IMEX_VN!$B$2:$B$130, MONTH(IMEX_VN!$A$2:$A$130)=MONTH($A118), YEAR(IMEX_VN!$A$2:$A$130)=YEAR($A118)),
    1
  ),
""""))"),-1.1)</f>
        <v>-1.1000000000000001</v>
      </c>
      <c r="L118" s="6">
        <v>100</v>
      </c>
      <c r="M118" s="7">
        <v>37.5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8">
        <v>42827</v>
      </c>
      <c r="B119" s="9">
        <v>22680</v>
      </c>
      <c r="C119" s="2">
        <v>0</v>
      </c>
      <c r="D119" s="2">
        <f ca="1">IFERROR(__xludf.DUMMYFUNCTION("IF($A119="""","""", IFERROR(
  INDEX(
    FILTER(CPI_US!$D$2:$D$130, MONTH(CPI_US!$A$2:$A$130)=MONTH($A119), YEAR(CPI_US!$A$2:$A$130)=YEAR($A119)),
    1
  ),
""""))"),2.4)</f>
        <v>2.4</v>
      </c>
      <c r="E119" s="2">
        <v>5.8120000000000003</v>
      </c>
      <c r="F119" s="2">
        <v>0.82</v>
      </c>
      <c r="G119" s="2">
        <v>718</v>
      </c>
      <c r="H119" s="2">
        <v>2355.5</v>
      </c>
      <c r="I119" s="2">
        <v>4.8</v>
      </c>
      <c r="J119" s="2">
        <v>43.6</v>
      </c>
      <c r="K119" s="2">
        <f ca="1">IFERROR(__xludf.DUMMYFUNCTION("IF($A119="""","""", IFERROR(
  INDEX(
    FILTER(IMEX_VN!$B$2:$B$130, MONTH(IMEX_VN!$A$2:$A$130)=MONTH($A119), YEAR(IMEX_VN!$A$2:$A$130)=YEAR($A119)),
    1
  ),
""""))"),0.199999999999999)</f>
        <v>0.19999999999999901</v>
      </c>
      <c r="L119" s="6">
        <v>101</v>
      </c>
      <c r="M119" s="7">
        <v>38.299999999999997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8">
        <v>42834</v>
      </c>
      <c r="B120" s="9">
        <v>22787</v>
      </c>
      <c r="C120" s="2">
        <v>0</v>
      </c>
      <c r="D120" s="2">
        <f ca="1">IFERROR(__xludf.DUMMYFUNCTION("IF($A120="""","""", IFERROR(
  INDEX(
    FILTER(CPI_US!$D$2:$D$130, MONTH(CPI_US!$A$2:$A$130)=MONTH($A120), YEAR(CPI_US!$A$2:$A$130)=YEAR($A120)),
    1
  ),
""""))"),2.4)</f>
        <v>2.4</v>
      </c>
      <c r="E120" s="2">
        <v>5.7750000000000004</v>
      </c>
      <c r="F120" s="2">
        <v>0.91</v>
      </c>
      <c r="G120" s="2">
        <v>712</v>
      </c>
      <c r="H120" s="2">
        <v>2328.9</v>
      </c>
      <c r="I120" s="2">
        <v>4.8</v>
      </c>
      <c r="J120" s="2">
        <v>43.6</v>
      </c>
      <c r="K120" s="2">
        <f ca="1">IFERROR(__xludf.DUMMYFUNCTION("IF($A120="""","""", IFERROR(
  INDEX(
    FILTER(IMEX_VN!$B$2:$B$130, MONTH(IMEX_VN!$A$2:$A$130)=MONTH($A120), YEAR(IMEX_VN!$A$2:$A$130)=YEAR($A120)),
    1
  ),
""""))"),0.199999999999999)</f>
        <v>0.19999999999999901</v>
      </c>
      <c r="L120" s="6">
        <v>101</v>
      </c>
      <c r="M120" s="7">
        <v>38.299999999999997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8">
        <v>42841</v>
      </c>
      <c r="B121" s="9">
        <v>22722</v>
      </c>
      <c r="C121" s="2">
        <v>0</v>
      </c>
      <c r="D121" s="2">
        <f ca="1">IFERROR(__xludf.DUMMYFUNCTION("IF($A121="""","""", IFERROR(
  INDEX(
    FILTER(CPI_US!$D$2:$D$130, MONTH(CPI_US!$A$2:$A$130)=MONTH($A121), YEAR(CPI_US!$A$2:$A$130)=YEAR($A121)),
    1
  ),
""""))"),2.4)</f>
        <v>2.4</v>
      </c>
      <c r="E121" s="2">
        <v>5.77</v>
      </c>
      <c r="F121" s="2">
        <v>0.91</v>
      </c>
      <c r="G121" s="2">
        <v>717</v>
      </c>
      <c r="H121" s="2">
        <v>2348.6999999999998</v>
      </c>
      <c r="I121" s="2">
        <v>4.8</v>
      </c>
      <c r="J121" s="2">
        <v>43.6</v>
      </c>
      <c r="K121" s="2">
        <f ca="1">IFERROR(__xludf.DUMMYFUNCTION("IF($A121="""","""", IFERROR(
  INDEX(
    FILTER(IMEX_VN!$B$2:$B$130, MONTH(IMEX_VN!$A$2:$A$130)=MONTH($A121), YEAR(IMEX_VN!$A$2:$A$130)=YEAR($A121)),
    1
  ),
""""))"),0.199999999999999)</f>
        <v>0.19999999999999901</v>
      </c>
      <c r="L121" s="6">
        <v>100</v>
      </c>
      <c r="M121" s="7">
        <v>38.299999999999997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8">
        <v>42848</v>
      </c>
      <c r="B122" s="9">
        <v>22743</v>
      </c>
      <c r="C122" s="2">
        <v>0</v>
      </c>
      <c r="D122" s="2">
        <f ca="1">IFERROR(__xludf.DUMMYFUNCTION("IF($A122="""","""", IFERROR(
  INDEX(
    FILTER(CPI_US!$D$2:$D$130, MONTH(CPI_US!$A$2:$A$130)=MONTH($A122), YEAR(CPI_US!$A$2:$A$130)=YEAR($A122)),
    1
  ),
""""))"),2.4)</f>
        <v>2.4</v>
      </c>
      <c r="E122" s="2">
        <v>5.7930000000000001</v>
      </c>
      <c r="F122" s="2">
        <v>0.91</v>
      </c>
      <c r="G122" s="2">
        <v>720</v>
      </c>
      <c r="H122" s="2">
        <v>2384.1999999999998</v>
      </c>
      <c r="I122" s="2">
        <v>4.8</v>
      </c>
      <c r="J122" s="2">
        <v>43.6</v>
      </c>
      <c r="K122" s="2">
        <f ca="1">IFERROR(__xludf.DUMMYFUNCTION("IF($A122="""","""", IFERROR(
  INDEX(
    FILTER(IMEX_VN!$B$2:$B$130, MONTH(IMEX_VN!$A$2:$A$130)=MONTH($A122), YEAR(IMEX_VN!$A$2:$A$130)=YEAR($A122)),
    1
  ),
""""))"),0.199999999999999)</f>
        <v>0.19999999999999901</v>
      </c>
      <c r="L122" s="6">
        <v>99</v>
      </c>
      <c r="M122" s="7">
        <v>38.299999999999997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8">
        <v>42855</v>
      </c>
      <c r="B123" s="9">
        <v>22732</v>
      </c>
      <c r="C123" s="2">
        <v>0</v>
      </c>
      <c r="D123" s="2">
        <f ca="1">IFERROR(__xludf.DUMMYFUNCTION("IF($A123="""","""", IFERROR(
  INDEX(
    FILTER(CPI_US!$D$2:$D$130, MONTH(CPI_US!$A$2:$A$130)=MONTH($A123), YEAR(CPI_US!$A$2:$A$130)=YEAR($A123)),
    1
  ),
""""))"),2.4)</f>
        <v>2.4</v>
      </c>
      <c r="E123" s="2">
        <v>5.8090000000000002</v>
      </c>
      <c r="F123" s="2">
        <v>0.83</v>
      </c>
      <c r="G123" s="2">
        <v>725</v>
      </c>
      <c r="H123" s="2">
        <v>2399.3000000000002</v>
      </c>
      <c r="I123" s="2">
        <v>4.8</v>
      </c>
      <c r="J123" s="2">
        <v>43.6</v>
      </c>
      <c r="K123" s="2">
        <f ca="1">IFERROR(__xludf.DUMMYFUNCTION("IF($A123="""","""", IFERROR(
  INDEX(
    FILTER(IMEX_VN!$B$2:$B$130, MONTH(IMEX_VN!$A$2:$A$130)=MONTH($A123), YEAR(IMEX_VN!$A$2:$A$130)=YEAR($A123)),
    1
  ),
""""))"),0.199999999999999)</f>
        <v>0.19999999999999901</v>
      </c>
      <c r="L123" s="6">
        <v>99</v>
      </c>
      <c r="M123" s="7">
        <v>38.299999999999997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8">
        <v>42862</v>
      </c>
      <c r="B124" s="9">
        <v>22691</v>
      </c>
      <c r="C124" s="2">
        <v>-0.5</v>
      </c>
      <c r="D124" s="2">
        <f ca="1">IFERROR(__xludf.DUMMYFUNCTION("IF($A124="""","""", IFERROR(
  INDEX(
    FILTER(CPI_US!$D$2:$D$130, MONTH(CPI_US!$A$2:$A$130)=MONTH($A124), YEAR(CPI_US!$A$2:$A$130)=YEAR($A124)),
    1
  ),
""""))"),2.19999999999999)</f>
        <v>2.19999999999999</v>
      </c>
      <c r="E124" s="2">
        <v>5.8049999999999997</v>
      </c>
      <c r="F124" s="2">
        <v>0.91</v>
      </c>
      <c r="G124" s="2">
        <v>733</v>
      </c>
      <c r="H124" s="2">
        <v>2390.9</v>
      </c>
      <c r="I124" s="2">
        <v>6.2</v>
      </c>
      <c r="J124" s="2">
        <v>43.6</v>
      </c>
      <c r="K124" s="2">
        <f ca="1">IFERROR(__xludf.DUMMYFUNCTION("IF($A124="""","""", IFERROR(
  INDEX(
    FILTER(IMEX_VN!$B$2:$B$130, MONTH(IMEX_VN!$A$2:$A$130)=MONTH($A124), YEAR(IMEX_VN!$A$2:$A$130)=YEAR($A124)),
    1
  ),
""""))"),-0.600000000000001)</f>
        <v>-0.60000000000000098</v>
      </c>
      <c r="L124" s="6">
        <v>99</v>
      </c>
      <c r="M124" s="7">
        <v>38.1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8">
        <v>42869</v>
      </c>
      <c r="B125" s="9">
        <v>22650</v>
      </c>
      <c r="C125" s="2">
        <v>-0.5</v>
      </c>
      <c r="D125" s="2">
        <f ca="1">IFERROR(__xludf.DUMMYFUNCTION("IF($A125="""","""", IFERROR(
  INDEX(
    FILTER(CPI_US!$D$2:$D$130, MONTH(CPI_US!$A$2:$A$130)=MONTH($A125), YEAR(CPI_US!$A$2:$A$130)=YEAR($A125)),
    1
  ),
""""))"),2.19999999999999)</f>
        <v>2.19999999999999</v>
      </c>
      <c r="E125" s="2">
        <v>5.7569999999999997</v>
      </c>
      <c r="F125" s="2">
        <v>0.91</v>
      </c>
      <c r="G125" s="2">
        <v>743</v>
      </c>
      <c r="H125" s="2">
        <v>2381.6999999999998</v>
      </c>
      <c r="I125" s="2">
        <v>6.2</v>
      </c>
      <c r="J125" s="2">
        <v>43.6</v>
      </c>
      <c r="K125" s="2">
        <f ca="1">IFERROR(__xludf.DUMMYFUNCTION("IF($A125="""","""", IFERROR(
  INDEX(
    FILTER(IMEX_VN!$B$2:$B$130, MONTH(IMEX_VN!$A$2:$A$130)=MONTH($A125), YEAR(IMEX_VN!$A$2:$A$130)=YEAR($A125)),
    1
  ),
""""))"),-0.600000000000001)</f>
        <v>-0.60000000000000098</v>
      </c>
      <c r="L125" s="6">
        <v>97</v>
      </c>
      <c r="M125" s="7">
        <v>38.1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8">
        <v>42876</v>
      </c>
      <c r="B126" s="9">
        <v>22725</v>
      </c>
      <c r="C126" s="2">
        <v>-0.5</v>
      </c>
      <c r="D126" s="2">
        <f ca="1">IFERROR(__xludf.DUMMYFUNCTION("IF($A126="""","""", IFERROR(
  INDEX(
    FILTER(CPI_US!$D$2:$D$130, MONTH(CPI_US!$A$2:$A$130)=MONTH($A126), YEAR(CPI_US!$A$2:$A$130)=YEAR($A126)),
    1
  ),
""""))"),2.19999999999999)</f>
        <v>2.19999999999999</v>
      </c>
      <c r="E126" s="2">
        <v>5.6859999999999999</v>
      </c>
      <c r="F126" s="2">
        <v>0.91</v>
      </c>
      <c r="G126" s="2">
        <v>738</v>
      </c>
      <c r="H126" s="2">
        <v>2415.8000000000002</v>
      </c>
      <c r="I126" s="2">
        <v>6.2</v>
      </c>
      <c r="J126" s="2">
        <v>43.6</v>
      </c>
      <c r="K126" s="2">
        <f ca="1">IFERROR(__xludf.DUMMYFUNCTION("IF($A126="""","""", IFERROR(
  INDEX(
    FILTER(IMEX_VN!$B$2:$B$130, MONTH(IMEX_VN!$A$2:$A$130)=MONTH($A126), YEAR(IMEX_VN!$A$2:$A$130)=YEAR($A126)),
    1
  ),
""""))"),-0.600000000000001)</f>
        <v>-0.60000000000000098</v>
      </c>
      <c r="L126" s="6">
        <v>97</v>
      </c>
      <c r="M126" s="7">
        <v>38.1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8">
        <v>42883</v>
      </c>
      <c r="B127" s="9">
        <v>22715</v>
      </c>
      <c r="C127" s="2">
        <v>-0.5</v>
      </c>
      <c r="D127" s="2">
        <f ca="1">IFERROR(__xludf.DUMMYFUNCTION("IF($A127="""","""", IFERROR(
  INDEX(
    FILTER(CPI_US!$D$2:$D$130, MONTH(CPI_US!$A$2:$A$130)=MONTH($A127), YEAR(CPI_US!$A$2:$A$130)=YEAR($A127)),
    1
  ),
""""))"),2.19999999999999)</f>
        <v>2.19999999999999</v>
      </c>
      <c r="E127" s="2">
        <v>5.8550000000000004</v>
      </c>
      <c r="F127" s="2">
        <v>0.91</v>
      </c>
      <c r="G127" s="2">
        <v>749</v>
      </c>
      <c r="H127" s="2">
        <v>2439.1</v>
      </c>
      <c r="I127" s="2">
        <v>6.2</v>
      </c>
      <c r="J127" s="2">
        <v>43.6</v>
      </c>
      <c r="K127" s="2">
        <f ca="1">IFERROR(__xludf.DUMMYFUNCTION("IF($A127="""","""", IFERROR(
  INDEX(
    FILTER(IMEX_VN!$B$2:$B$130, MONTH(IMEX_VN!$A$2:$A$130)=MONTH($A127), YEAR(IMEX_VN!$A$2:$A$130)=YEAR($A127)),
    1
  ),
""""))"),-0.600000000000001)</f>
        <v>-0.60000000000000098</v>
      </c>
      <c r="L127" s="6">
        <v>97</v>
      </c>
      <c r="M127" s="7">
        <v>38.1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8">
        <v>42890</v>
      </c>
      <c r="B128" s="9">
        <v>22687</v>
      </c>
      <c r="C128" s="2">
        <v>-0.2</v>
      </c>
      <c r="D128" s="2">
        <f ca="1">IFERROR(__xludf.DUMMYFUNCTION("IF($A128="""","""", IFERROR(
  INDEX(
    FILTER(CPI_US!$D$2:$D$130, MONTH(CPI_US!$A$2:$A$130)=MONTH($A128), YEAR(CPI_US!$A$2:$A$130)=YEAR($A128)),
    1
  ),
""""))"),1.9)</f>
        <v>1.9</v>
      </c>
      <c r="E128" s="2">
        <v>5.8230000000000004</v>
      </c>
      <c r="F128" s="2">
        <v>0.91</v>
      </c>
      <c r="G128" s="2">
        <v>761</v>
      </c>
      <c r="H128" s="2">
        <v>2431.8000000000002</v>
      </c>
      <c r="I128" s="2">
        <v>7.7</v>
      </c>
      <c r="J128" s="2">
        <v>43.6</v>
      </c>
      <c r="K128" s="2">
        <f ca="1">IFERROR(__xludf.DUMMYFUNCTION("IF($A128="""","""", IFERROR(
  INDEX(
    FILTER(IMEX_VN!$B$2:$B$130, MONTH(IMEX_VN!$A$2:$A$130)=MONTH($A128), YEAR(IMEX_VN!$A$2:$A$130)=YEAR($A128)),
    1
  ),
""""))"),-0.3)</f>
        <v>-0.3</v>
      </c>
      <c r="L128" s="6">
        <v>97</v>
      </c>
      <c r="M128" s="7">
        <v>38.799999999999997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8">
        <v>42897</v>
      </c>
      <c r="B129" s="9">
        <v>22690</v>
      </c>
      <c r="C129" s="2">
        <v>-0.2</v>
      </c>
      <c r="D129" s="2">
        <f ca="1">IFERROR(__xludf.DUMMYFUNCTION("IF($A129="""","""", IFERROR(
  INDEX(
    FILTER(CPI_US!$D$2:$D$130, MONTH(CPI_US!$A$2:$A$130)=MONTH($A129), YEAR(CPI_US!$A$2:$A$130)=YEAR($A129)),
    1
  ),
""""))"),1.9)</f>
        <v>1.9</v>
      </c>
      <c r="E129" s="2">
        <v>5.7590000000000003</v>
      </c>
      <c r="F129" s="2">
        <v>0.91</v>
      </c>
      <c r="G129" s="2">
        <v>769</v>
      </c>
      <c r="H129" s="2">
        <v>2433.1999999999998</v>
      </c>
      <c r="I129" s="2">
        <v>7.7</v>
      </c>
      <c r="J129" s="2">
        <v>43.6</v>
      </c>
      <c r="K129" s="2">
        <f ca="1">IFERROR(__xludf.DUMMYFUNCTION("IF($A129="""","""", IFERROR(
  INDEX(
    FILTER(IMEX_VN!$B$2:$B$130, MONTH(IMEX_VN!$A$2:$A$130)=MONTH($A129), YEAR(IMEX_VN!$A$2:$A$130)=YEAR($A129)),
    1
  ),
""""))"),-0.3)</f>
        <v>-0.3</v>
      </c>
      <c r="L129" s="6">
        <v>97</v>
      </c>
      <c r="M129" s="7">
        <v>38.799999999999997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8">
        <v>42904</v>
      </c>
      <c r="B130" s="9">
        <v>22725</v>
      </c>
      <c r="C130" s="2">
        <v>-0.2</v>
      </c>
      <c r="D130" s="2">
        <f ca="1">IFERROR(__xludf.DUMMYFUNCTION("IF($A130="""","""", IFERROR(
  INDEX(
    FILTER(CPI_US!$D$2:$D$130, MONTH(CPI_US!$A$2:$A$130)=MONTH($A130), YEAR(CPI_US!$A$2:$A$130)=YEAR($A130)),
    1
  ),
""""))"),1.9)</f>
        <v>1.9</v>
      </c>
      <c r="E130" s="2">
        <v>5.6520000000000001</v>
      </c>
      <c r="F130" s="2">
        <v>1.1599999999999999</v>
      </c>
      <c r="G130" s="2">
        <v>776</v>
      </c>
      <c r="H130" s="2">
        <v>2438.3000000000002</v>
      </c>
      <c r="I130" s="2">
        <v>7.7</v>
      </c>
      <c r="J130" s="2">
        <v>43.6</v>
      </c>
      <c r="K130" s="2">
        <f ca="1">IFERROR(__xludf.DUMMYFUNCTION("IF($A130="""","""", IFERROR(
  INDEX(
    FILTER(IMEX_VN!$B$2:$B$130, MONTH(IMEX_VN!$A$2:$A$130)=MONTH($A130), YEAR(IMEX_VN!$A$2:$A$130)=YEAR($A130)),
    1
  ),
""""))"),-0.3)</f>
        <v>-0.3</v>
      </c>
      <c r="L130" s="6">
        <v>97</v>
      </c>
      <c r="M130" s="7">
        <v>38.799999999999997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8">
        <v>42911</v>
      </c>
      <c r="B131" s="9">
        <v>22725</v>
      </c>
      <c r="C131" s="2">
        <v>-0.2</v>
      </c>
      <c r="D131" s="2">
        <f ca="1">IFERROR(__xludf.DUMMYFUNCTION("IF($A131="""","""", IFERROR(
  INDEX(
    FILTER(CPI_US!$D$2:$D$130, MONTH(CPI_US!$A$2:$A$130)=MONTH($A131), YEAR(CPI_US!$A$2:$A$130)=YEAR($A131)),
    1
  ),
""""))"),1.9)</f>
        <v>1.9</v>
      </c>
      <c r="E131" s="2">
        <v>5.6340000000000003</v>
      </c>
      <c r="F131" s="2">
        <v>1.1599999999999999</v>
      </c>
      <c r="G131" s="2">
        <v>775</v>
      </c>
      <c r="H131" s="2">
        <v>2423.4</v>
      </c>
      <c r="I131" s="2">
        <v>7.7</v>
      </c>
      <c r="J131" s="2">
        <v>43.6</v>
      </c>
      <c r="K131" s="2">
        <f ca="1">IFERROR(__xludf.DUMMYFUNCTION("IF($A131="""","""", IFERROR(
  INDEX(
    FILTER(IMEX_VN!$B$2:$B$130, MONTH(IMEX_VN!$A$2:$A$130)=MONTH($A131), YEAR(IMEX_VN!$A$2:$A$130)=YEAR($A131)),
    1
  ),
""""))"),-0.3)</f>
        <v>-0.3</v>
      </c>
      <c r="L131" s="6">
        <v>96</v>
      </c>
      <c r="M131" s="7">
        <v>38.799999999999997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8">
        <v>42918</v>
      </c>
      <c r="B132" s="9">
        <v>22725</v>
      </c>
      <c r="C132" s="2">
        <v>0.1</v>
      </c>
      <c r="D132" s="2">
        <f ca="1">IFERROR(__xludf.DUMMYFUNCTION("IF($A132="""","""", IFERROR(
  INDEX(
    FILTER(CPI_US!$D$2:$D$130, MONTH(CPI_US!$A$2:$A$130)=MONTH($A132), YEAR(CPI_US!$A$2:$A$130)=YEAR($A132)),
    1
  ),
""""))"),1.6)</f>
        <v>1.6</v>
      </c>
      <c r="E132" s="2">
        <v>5.5890000000000004</v>
      </c>
      <c r="F132" s="2">
        <v>1.06</v>
      </c>
      <c r="G132" s="2">
        <v>777</v>
      </c>
      <c r="H132" s="2">
        <v>2425.1999999999998</v>
      </c>
      <c r="I132" s="2">
        <v>9.1</v>
      </c>
      <c r="J132" s="2">
        <v>45.7</v>
      </c>
      <c r="K132" s="2">
        <f ca="1">IFERROR(__xludf.DUMMYFUNCTION("IF($A132="""","""", IFERROR(
  INDEX(
    FILTER(IMEX_VN!$B$2:$B$130, MONTH(IMEX_VN!$A$2:$A$130)=MONTH($A132), YEAR(IMEX_VN!$A$2:$A$130)=YEAR($A132)),
    1
  ),
""""))"),0.3)</f>
        <v>0.3</v>
      </c>
      <c r="L132" s="6">
        <v>96</v>
      </c>
      <c r="M132" s="7">
        <v>39.200000000000003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8">
        <v>42925</v>
      </c>
      <c r="B133" s="9">
        <v>22725</v>
      </c>
      <c r="C133" s="2">
        <v>0.1</v>
      </c>
      <c r="D133" s="2">
        <f ca="1">IFERROR(__xludf.DUMMYFUNCTION("IF($A133="""","""", IFERROR(
  INDEX(
    FILTER(CPI_US!$D$2:$D$130, MONTH(CPI_US!$A$2:$A$130)=MONTH($A133), YEAR(CPI_US!$A$2:$A$130)=YEAR($A133)),
    1
  ),
""""))"),1.6)</f>
        <v>1.6</v>
      </c>
      <c r="E133" s="2">
        <v>5.3760000000000003</v>
      </c>
      <c r="F133" s="2">
        <v>1.1599999999999999</v>
      </c>
      <c r="G133" s="2">
        <v>761</v>
      </c>
      <c r="H133" s="2">
        <v>2459.3000000000002</v>
      </c>
      <c r="I133" s="2">
        <v>9.1</v>
      </c>
      <c r="J133" s="2">
        <v>45.7</v>
      </c>
      <c r="K133" s="2">
        <f ca="1">IFERROR(__xludf.DUMMYFUNCTION("IF($A133="""","""", IFERROR(
  INDEX(
    FILTER(IMEX_VN!$B$2:$B$130, MONTH(IMEX_VN!$A$2:$A$130)=MONTH($A133), YEAR(IMEX_VN!$A$2:$A$130)=YEAR($A133)),
    1
  ),
""""))"),0.3)</f>
        <v>0.3</v>
      </c>
      <c r="L133" s="6">
        <v>95</v>
      </c>
      <c r="M133" s="7">
        <v>39.200000000000003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8">
        <v>42932</v>
      </c>
      <c r="B134" s="9">
        <v>22725</v>
      </c>
      <c r="C134" s="2">
        <v>0.1</v>
      </c>
      <c r="D134" s="2">
        <f ca="1">IFERROR(__xludf.DUMMYFUNCTION("IF($A134="""","""", IFERROR(
  INDEX(
    FILTER(CPI_US!$D$2:$D$130, MONTH(CPI_US!$A$2:$A$130)=MONTH($A134), YEAR(CPI_US!$A$2:$A$130)=YEAR($A134)),
    1
  ),
""""))"),1.6)</f>
        <v>1.6</v>
      </c>
      <c r="E134" s="2">
        <v>5.2530000000000001</v>
      </c>
      <c r="F134" s="2">
        <v>1.1599999999999999</v>
      </c>
      <c r="G134" s="2">
        <v>777</v>
      </c>
      <c r="H134" s="2">
        <v>2472.5</v>
      </c>
      <c r="I134" s="2">
        <v>9.1</v>
      </c>
      <c r="J134" s="2">
        <v>45.7</v>
      </c>
      <c r="K134" s="2">
        <f ca="1">IFERROR(__xludf.DUMMYFUNCTION("IF($A134="""","""", IFERROR(
  INDEX(
    FILTER(IMEX_VN!$B$2:$B$130, MONTH(IMEX_VN!$A$2:$A$130)=MONTH($A134), YEAR(IMEX_VN!$A$2:$A$130)=YEAR($A134)),
    1
  ),
""""))"),0.3)</f>
        <v>0.3</v>
      </c>
      <c r="L134" s="6">
        <v>94</v>
      </c>
      <c r="M134" s="7">
        <v>39.200000000000003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8">
        <v>42939</v>
      </c>
      <c r="B135" s="9">
        <v>22728</v>
      </c>
      <c r="C135" s="2">
        <v>0.1</v>
      </c>
      <c r="D135" s="2">
        <f ca="1">IFERROR(__xludf.DUMMYFUNCTION("IF($A135="""","""", IFERROR(
  INDEX(
    FILTER(CPI_US!$D$2:$D$130, MONTH(CPI_US!$A$2:$A$130)=MONTH($A135), YEAR(CPI_US!$A$2:$A$130)=YEAR($A135)),
    1
  ),
""""))"),1.6)</f>
        <v>1.6</v>
      </c>
      <c r="E135" s="2">
        <v>5.274</v>
      </c>
      <c r="F135" s="2">
        <v>1.1599999999999999</v>
      </c>
      <c r="G135" s="2">
        <v>788</v>
      </c>
      <c r="H135" s="2">
        <v>2472.1</v>
      </c>
      <c r="I135" s="2">
        <v>9.1</v>
      </c>
      <c r="J135" s="2">
        <v>45.7</v>
      </c>
      <c r="K135" s="2">
        <f ca="1">IFERROR(__xludf.DUMMYFUNCTION("IF($A135="""","""", IFERROR(
  INDEX(
    FILTER(IMEX_VN!$B$2:$B$130, MONTH(IMEX_VN!$A$2:$A$130)=MONTH($A135), YEAR(IMEX_VN!$A$2:$A$130)=YEAR($A135)),
    1
  ),
""""))"),0.3)</f>
        <v>0.3</v>
      </c>
      <c r="L135" s="6">
        <v>93</v>
      </c>
      <c r="M135" s="7">
        <v>39.200000000000003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8">
        <v>42946</v>
      </c>
      <c r="B136" s="9">
        <v>22735</v>
      </c>
      <c r="C136" s="2">
        <v>0.1</v>
      </c>
      <c r="D136" s="2">
        <f ca="1">IFERROR(__xludf.DUMMYFUNCTION("IF($A136="""","""", IFERROR(
  INDEX(
    FILTER(CPI_US!$D$2:$D$130, MONTH(CPI_US!$A$2:$A$130)=MONTH($A136), YEAR(CPI_US!$A$2:$A$130)=YEAR($A136)),
    1
  ),
""""))"),1.6)</f>
        <v>1.6</v>
      </c>
      <c r="E136" s="2">
        <v>5.2720000000000002</v>
      </c>
      <c r="F136" s="2">
        <v>1.1599999999999999</v>
      </c>
      <c r="G136" s="2">
        <v>772</v>
      </c>
      <c r="H136" s="2">
        <v>2476.8000000000002</v>
      </c>
      <c r="I136" s="2">
        <v>9.1</v>
      </c>
      <c r="J136" s="2">
        <v>45.7</v>
      </c>
      <c r="K136" s="2">
        <f ca="1">IFERROR(__xludf.DUMMYFUNCTION("IF($A136="""","""", IFERROR(
  INDEX(
    FILTER(IMEX_VN!$B$2:$B$130, MONTH(IMEX_VN!$A$2:$A$130)=MONTH($A136), YEAR(IMEX_VN!$A$2:$A$130)=YEAR($A136)),
    1
  ),
""""))"),0.3)</f>
        <v>0.3</v>
      </c>
      <c r="L136" s="6">
        <v>94</v>
      </c>
      <c r="M136" s="7">
        <v>39.200000000000003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8">
        <v>42953</v>
      </c>
      <c r="B137" s="9">
        <v>22727</v>
      </c>
      <c r="C137" s="2">
        <v>0.9</v>
      </c>
      <c r="D137" s="2">
        <f ca="1">IFERROR(__xludf.DUMMYFUNCTION("IF($A137="""","""", IFERROR(
  INDEX(
    FILTER(CPI_US!$D$2:$D$130, MONTH(CPI_US!$A$2:$A$130)=MONTH($A137), YEAR(CPI_US!$A$2:$A$130)=YEAR($A137)),
    1
  ),
""""))"),1.7)</f>
        <v>1.7</v>
      </c>
      <c r="E137" s="2">
        <v>5.3410000000000002</v>
      </c>
      <c r="F137" s="2">
        <v>1.1599999999999999</v>
      </c>
      <c r="G137" s="2">
        <v>768</v>
      </c>
      <c r="H137" s="2">
        <v>2441.3000000000002</v>
      </c>
      <c r="I137" s="2">
        <v>10.3</v>
      </c>
      <c r="J137" s="2">
        <v>45.7</v>
      </c>
      <c r="K137" s="2">
        <f ca="1">IFERROR(__xludf.DUMMYFUNCTION("IF($A137="""","""", IFERROR(
  INDEX(
    FILTER(IMEX_VN!$B$2:$B$130, MONTH(IMEX_VN!$A$2:$A$130)=MONTH($A137), YEAR(IMEX_VN!$A$2:$A$130)=YEAR($A137)),
    1
  ),
""""))"),1.6)</f>
        <v>1.6</v>
      </c>
      <c r="L137" s="6">
        <v>93</v>
      </c>
      <c r="M137" s="7">
        <v>39.6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8">
        <v>42960</v>
      </c>
      <c r="B138" s="9">
        <v>22728</v>
      </c>
      <c r="C138" s="2">
        <v>0.9</v>
      </c>
      <c r="D138" s="2">
        <f ca="1">IFERROR(__xludf.DUMMYFUNCTION("IF($A138="""","""", IFERROR(
  INDEX(
    FILTER(CPI_US!$D$2:$D$130, MONTH(CPI_US!$A$2:$A$130)=MONTH($A138), YEAR(CPI_US!$A$2:$A$130)=YEAR($A138)),
    1
  ),
""""))"),1.7)</f>
        <v>1.7</v>
      </c>
      <c r="E138" s="2">
        <v>5.407</v>
      </c>
      <c r="F138" s="2">
        <v>1.1599999999999999</v>
      </c>
      <c r="G138" s="2">
        <v>771</v>
      </c>
      <c r="H138" s="2">
        <v>2425.6</v>
      </c>
      <c r="I138" s="2">
        <v>10.3</v>
      </c>
      <c r="J138" s="2">
        <v>45.7</v>
      </c>
      <c r="K138" s="2">
        <f ca="1">IFERROR(__xludf.DUMMYFUNCTION("IF($A138="""","""", IFERROR(
  INDEX(
    FILTER(IMEX_VN!$B$2:$B$130, MONTH(IMEX_VN!$A$2:$A$130)=MONTH($A138), YEAR(IMEX_VN!$A$2:$A$130)=YEAR($A138)),
    1
  ),
""""))"),1.6)</f>
        <v>1.6</v>
      </c>
      <c r="L138" s="6">
        <v>93</v>
      </c>
      <c r="M138" s="7">
        <v>39.6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8">
        <v>42967</v>
      </c>
      <c r="B139" s="9">
        <v>22732</v>
      </c>
      <c r="C139" s="2">
        <v>0.9</v>
      </c>
      <c r="D139" s="2">
        <f ca="1">IFERROR(__xludf.DUMMYFUNCTION("IF($A139="""","""", IFERROR(
  INDEX(
    FILTER(CPI_US!$D$2:$D$130, MONTH(CPI_US!$A$2:$A$130)=MONTH($A139), YEAR(CPI_US!$A$2:$A$130)=YEAR($A139)),
    1
  ),
""""))"),1.7)</f>
        <v>1.7</v>
      </c>
      <c r="E139" s="2">
        <v>5.4969999999999999</v>
      </c>
      <c r="F139" s="2">
        <v>1.1599999999999999</v>
      </c>
      <c r="G139" s="2">
        <v>788</v>
      </c>
      <c r="H139" s="2">
        <v>2443.1</v>
      </c>
      <c r="I139" s="2">
        <v>10.3</v>
      </c>
      <c r="J139" s="2">
        <v>45.7</v>
      </c>
      <c r="K139" s="2">
        <f ca="1">IFERROR(__xludf.DUMMYFUNCTION("IF($A139="""","""", IFERROR(
  INDEX(
    FILTER(IMEX_VN!$B$2:$B$130, MONTH(IMEX_VN!$A$2:$A$130)=MONTH($A139), YEAR(IMEX_VN!$A$2:$A$130)=YEAR($A139)),
    1
  ),
""""))"),1.6)</f>
        <v>1.6</v>
      </c>
      <c r="L139" s="6">
        <v>93</v>
      </c>
      <c r="M139" s="7">
        <v>39.6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8">
        <v>42974</v>
      </c>
      <c r="B140" s="9">
        <v>22725</v>
      </c>
      <c r="C140" s="2">
        <v>0.9</v>
      </c>
      <c r="D140" s="2">
        <f ca="1">IFERROR(__xludf.DUMMYFUNCTION("IF($A140="""","""", IFERROR(
  INDEX(
    FILTER(CPI_US!$D$2:$D$130, MONTH(CPI_US!$A$2:$A$130)=MONTH($A140), YEAR(CPI_US!$A$2:$A$130)=YEAR($A140)),
    1
  ),
""""))"),1.7)</f>
        <v>1.7</v>
      </c>
      <c r="E140" s="2">
        <v>5.4980000000000002</v>
      </c>
      <c r="F140" s="2">
        <v>1.1599999999999999</v>
      </c>
      <c r="G140" s="2">
        <v>801</v>
      </c>
      <c r="H140" s="2">
        <v>2476.6</v>
      </c>
      <c r="I140" s="2">
        <v>10.3</v>
      </c>
      <c r="J140" s="2">
        <v>45.7</v>
      </c>
      <c r="K140" s="2">
        <f ca="1">IFERROR(__xludf.DUMMYFUNCTION("IF($A140="""","""", IFERROR(
  INDEX(
    FILTER(IMEX_VN!$B$2:$B$130, MONTH(IMEX_VN!$A$2:$A$130)=MONTH($A140), YEAR(IMEX_VN!$A$2:$A$130)=YEAR($A140)),
    1
  ),
""""))"),1.6)</f>
        <v>1.6</v>
      </c>
      <c r="L140" s="6">
        <v>93</v>
      </c>
      <c r="M140" s="7">
        <v>39.6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8">
        <v>42981</v>
      </c>
      <c r="B141" s="9">
        <v>22725</v>
      </c>
      <c r="C141" s="2">
        <v>0.6</v>
      </c>
      <c r="D141" s="2">
        <f ca="1">IFERROR(__xludf.DUMMYFUNCTION("IF($A141="""","""", IFERROR(
  INDEX(
    FILTER(CPI_US!$D$2:$D$130, MONTH(CPI_US!$A$2:$A$130)=MONTH($A141), YEAR(CPI_US!$A$2:$A$130)=YEAR($A141)),
    1
  ),
""""))"),1.9)</f>
        <v>1.9</v>
      </c>
      <c r="E141" s="2">
        <v>5.3849999999999998</v>
      </c>
      <c r="F141" s="2">
        <v>1.1599999999999999</v>
      </c>
      <c r="G141" s="2">
        <v>805</v>
      </c>
      <c r="H141" s="2">
        <v>2461.4</v>
      </c>
      <c r="I141" s="2">
        <v>12.5</v>
      </c>
      <c r="J141" s="2">
        <v>45.7</v>
      </c>
      <c r="K141" s="2">
        <f ca="1">IFERROR(__xludf.DUMMYFUNCTION("IF($A141="""","""", IFERROR(
  INDEX(
    FILTER(IMEX_VN!$B$2:$B$130, MONTH(IMEX_VN!$A$2:$A$130)=MONTH($A141), YEAR(IMEX_VN!$A$2:$A$130)=YEAR($A141)),
    1
  ),
""""))"),1.1)</f>
        <v>1.1000000000000001</v>
      </c>
      <c r="L141" s="6">
        <v>91</v>
      </c>
      <c r="M141" s="7">
        <v>41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8">
        <v>42988</v>
      </c>
      <c r="B142" s="9">
        <v>22715</v>
      </c>
      <c r="C142" s="2">
        <v>0.6</v>
      </c>
      <c r="D142" s="2">
        <f ca="1">IFERROR(__xludf.DUMMYFUNCTION("IF($A142="""","""", IFERROR(
  INDEX(
    FILTER(CPI_US!$D$2:$D$130, MONTH(CPI_US!$A$2:$A$130)=MONTH($A142), YEAR(CPI_US!$A$2:$A$130)=YEAR($A142)),
    1
  ),
""""))"),1.9)</f>
        <v>1.9</v>
      </c>
      <c r="E142" s="2">
        <v>5.38</v>
      </c>
      <c r="F142" s="2">
        <v>1.1599999999999999</v>
      </c>
      <c r="G142" s="2">
        <v>807</v>
      </c>
      <c r="H142" s="2">
        <v>2500.1999999999998</v>
      </c>
      <c r="I142" s="2">
        <v>12.5</v>
      </c>
      <c r="J142" s="2">
        <v>45.7</v>
      </c>
      <c r="K142" s="2">
        <f ca="1">IFERROR(__xludf.DUMMYFUNCTION("IF($A142="""","""", IFERROR(
  INDEX(
    FILTER(IMEX_VN!$B$2:$B$130, MONTH(IMEX_VN!$A$2:$A$130)=MONTH($A142), YEAR(IMEX_VN!$A$2:$A$130)=YEAR($A142)),
    1
  ),
""""))"),1.1)</f>
        <v>1.1000000000000001</v>
      </c>
      <c r="L142" s="6">
        <v>92</v>
      </c>
      <c r="M142" s="7">
        <v>41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8">
        <v>42995</v>
      </c>
      <c r="B143" s="9">
        <v>22715</v>
      </c>
      <c r="C143" s="2">
        <v>0.6</v>
      </c>
      <c r="D143" s="2">
        <f ca="1">IFERROR(__xludf.DUMMYFUNCTION("IF($A143="""","""", IFERROR(
  INDEX(
    FILTER(CPI_US!$D$2:$D$130, MONTH(CPI_US!$A$2:$A$130)=MONTH($A143), YEAR(CPI_US!$A$2:$A$130)=YEAR($A143)),
    1
  ),
""""))"),1.9)</f>
        <v>1.9</v>
      </c>
      <c r="E143" s="2">
        <v>5.3789999999999996</v>
      </c>
      <c r="F143" s="2">
        <v>1.1599999999999999</v>
      </c>
      <c r="G143" s="2">
        <v>804</v>
      </c>
      <c r="H143" s="2">
        <v>2502.1999999999998</v>
      </c>
      <c r="I143" s="2">
        <v>12.5</v>
      </c>
      <c r="J143" s="2">
        <v>45.7</v>
      </c>
      <c r="K143" s="2">
        <f ca="1">IFERROR(__xludf.DUMMYFUNCTION("IF($A143="""","""", IFERROR(
  INDEX(
    FILTER(IMEX_VN!$B$2:$B$130, MONTH(IMEX_VN!$A$2:$A$130)=MONTH($A143), YEAR(IMEX_VN!$A$2:$A$130)=YEAR($A143)),
    1
  ),
""""))"),1.1)</f>
        <v>1.1000000000000001</v>
      </c>
      <c r="L143" s="6">
        <v>92</v>
      </c>
      <c r="M143" s="7">
        <v>41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8">
        <v>43002</v>
      </c>
      <c r="B144" s="9">
        <v>22720</v>
      </c>
      <c r="C144" s="2">
        <v>0.6</v>
      </c>
      <c r="D144" s="2">
        <f ca="1">IFERROR(__xludf.DUMMYFUNCTION("IF($A144="""","""", IFERROR(
  INDEX(
    FILTER(CPI_US!$D$2:$D$130, MONTH(CPI_US!$A$2:$A$130)=MONTH($A144), YEAR(CPI_US!$A$2:$A$130)=YEAR($A144)),
    1
  ),
""""))"),1.9)</f>
        <v>1.9</v>
      </c>
      <c r="E144" s="2">
        <v>5.3659999999999997</v>
      </c>
      <c r="F144" s="2">
        <v>1.1599999999999999</v>
      </c>
      <c r="G144" s="2">
        <v>807</v>
      </c>
      <c r="H144" s="2">
        <v>2519.4</v>
      </c>
      <c r="I144" s="2">
        <v>12.5</v>
      </c>
      <c r="J144" s="2">
        <v>45.7</v>
      </c>
      <c r="K144" s="2">
        <f ca="1">IFERROR(__xludf.DUMMYFUNCTION("IF($A144="""","""", IFERROR(
  INDEX(
    FILTER(IMEX_VN!$B$2:$B$130, MONTH(IMEX_VN!$A$2:$A$130)=MONTH($A144), YEAR(IMEX_VN!$A$2:$A$130)=YEAR($A144)),
    1
  ),
""""))"),1.1)</f>
        <v>1.1000000000000001</v>
      </c>
      <c r="L144" s="6">
        <v>93</v>
      </c>
      <c r="M144" s="7">
        <v>41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8">
        <v>43009</v>
      </c>
      <c r="B145" s="9">
        <v>22715</v>
      </c>
      <c r="C145" s="2">
        <v>0.4</v>
      </c>
      <c r="D145" s="2">
        <f ca="1">IFERROR(__xludf.DUMMYFUNCTION("IF($A145="""","""", IFERROR(
  INDEX(
    FILTER(CPI_US!$D$2:$D$130, MONTH(CPI_US!$A$2:$A$130)=MONTH($A145), YEAR(CPI_US!$A$2:$A$130)=YEAR($A145)),
    1
  ),
""""))"),2.19999999999999)</f>
        <v>2.19999999999999</v>
      </c>
      <c r="E145" s="2">
        <v>5.351</v>
      </c>
      <c r="F145" s="2">
        <v>1.06</v>
      </c>
      <c r="G145" s="2">
        <v>820</v>
      </c>
      <c r="H145" s="2">
        <v>2549.3000000000002</v>
      </c>
      <c r="I145" s="2">
        <v>14.2</v>
      </c>
      <c r="J145" s="2">
        <v>51.1</v>
      </c>
      <c r="K145" s="2">
        <f ca="1">IFERROR(__xludf.DUMMYFUNCTION("IF($A145="""","""", IFERROR(
  INDEX(
    FILTER(IMEX_VN!$B$2:$B$130, MONTH(IMEX_VN!$A$2:$A$130)=MONTH($A145), YEAR(IMEX_VN!$A$2:$A$130)=YEAR($A145)),
    1
  ),
""""))"),2.19999999999999)</f>
        <v>2.19999999999999</v>
      </c>
      <c r="L145" s="6">
        <v>94</v>
      </c>
      <c r="M145" s="7">
        <v>42.3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8">
        <v>43016</v>
      </c>
      <c r="B146" s="9">
        <v>22710</v>
      </c>
      <c r="C146" s="2">
        <v>0.4</v>
      </c>
      <c r="D146" s="2">
        <f ca="1">IFERROR(__xludf.DUMMYFUNCTION("IF($A146="""","""", IFERROR(
  INDEX(
    FILTER(CPI_US!$D$2:$D$130, MONTH(CPI_US!$A$2:$A$130)=MONTH($A146), YEAR(CPI_US!$A$2:$A$130)=YEAR($A146)),
    1
  ),
""""))"),2.19999999999999)</f>
        <v>2.19999999999999</v>
      </c>
      <c r="E146" s="2">
        <v>5.3250000000000002</v>
      </c>
      <c r="F146" s="2">
        <v>1.1599999999999999</v>
      </c>
      <c r="G146" s="2">
        <v>826</v>
      </c>
      <c r="H146" s="2">
        <v>2553.1999999999998</v>
      </c>
      <c r="I146" s="2">
        <v>14.2</v>
      </c>
      <c r="J146" s="2">
        <v>51.1</v>
      </c>
      <c r="K146" s="2">
        <f ca="1">IFERROR(__xludf.DUMMYFUNCTION("IF($A146="""","""", IFERROR(
  INDEX(
    FILTER(IMEX_VN!$B$2:$B$130, MONTH(IMEX_VN!$A$2:$A$130)=MONTH($A146), YEAR(IMEX_VN!$A$2:$A$130)=YEAR($A146)),
    1
  ),
""""))"),2.19999999999999)</f>
        <v>2.19999999999999</v>
      </c>
      <c r="L146" s="6">
        <v>93</v>
      </c>
      <c r="M146" s="7">
        <v>42.3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8">
        <v>43023</v>
      </c>
      <c r="B147" s="9">
        <v>22718</v>
      </c>
      <c r="C147" s="2">
        <v>0.4</v>
      </c>
      <c r="D147" s="2">
        <f ca="1">IFERROR(__xludf.DUMMYFUNCTION("IF($A147="""","""", IFERROR(
  INDEX(
    FILTER(CPI_US!$D$2:$D$130, MONTH(CPI_US!$A$2:$A$130)=MONTH($A147), YEAR(CPI_US!$A$2:$A$130)=YEAR($A147)),
    1
  ),
""""))"),2.19999999999999)</f>
        <v>2.19999999999999</v>
      </c>
      <c r="E147" s="2">
        <v>5.32</v>
      </c>
      <c r="F147" s="2">
        <v>1.1599999999999999</v>
      </c>
      <c r="G147" s="2">
        <v>840</v>
      </c>
      <c r="H147" s="2">
        <v>2575.1999999999998</v>
      </c>
      <c r="I147" s="2">
        <v>14.2</v>
      </c>
      <c r="J147" s="2">
        <v>51.1</v>
      </c>
      <c r="K147" s="2">
        <f ca="1">IFERROR(__xludf.DUMMYFUNCTION("IF($A147="""","""", IFERROR(
  INDEX(
    FILTER(IMEX_VN!$B$2:$B$130, MONTH(IMEX_VN!$A$2:$A$130)=MONTH($A147), YEAR(IMEX_VN!$A$2:$A$130)=YEAR($A147)),
    1
  ),
""""))"),2.19999999999999)</f>
        <v>2.19999999999999</v>
      </c>
      <c r="L147" s="6">
        <v>94</v>
      </c>
      <c r="M147" s="7">
        <v>42.3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8">
        <v>43030</v>
      </c>
      <c r="B148" s="9">
        <v>22700</v>
      </c>
      <c r="C148" s="2">
        <v>0.4</v>
      </c>
      <c r="D148" s="2">
        <f ca="1">IFERROR(__xludf.DUMMYFUNCTION("IF($A148="""","""", IFERROR(
  INDEX(
    FILTER(CPI_US!$D$2:$D$130, MONTH(CPI_US!$A$2:$A$130)=MONTH($A148), YEAR(CPI_US!$A$2:$A$130)=YEAR($A148)),
    1
  ),
""""))"),2.19999999999999)</f>
        <v>2.19999999999999</v>
      </c>
      <c r="E148" s="2">
        <v>5.3170000000000002</v>
      </c>
      <c r="F148" s="2">
        <v>1.1599999999999999</v>
      </c>
      <c r="G148" s="2">
        <v>843</v>
      </c>
      <c r="H148" s="2">
        <v>2581.1</v>
      </c>
      <c r="I148" s="2">
        <v>14.2</v>
      </c>
      <c r="J148" s="2">
        <v>51.1</v>
      </c>
      <c r="K148" s="2">
        <f ca="1">IFERROR(__xludf.DUMMYFUNCTION("IF($A148="""","""", IFERROR(
  INDEX(
    FILTER(IMEX_VN!$B$2:$B$130, MONTH(IMEX_VN!$A$2:$A$130)=MONTH($A148), YEAR(IMEX_VN!$A$2:$A$130)=YEAR($A148)),
    1
  ),
""""))"),2.19999999999999)</f>
        <v>2.19999999999999</v>
      </c>
      <c r="L148" s="6">
        <v>95</v>
      </c>
      <c r="M148" s="7">
        <v>42.3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8">
        <v>43037</v>
      </c>
      <c r="B149" s="9">
        <v>22700</v>
      </c>
      <c r="C149" s="2">
        <v>0.4</v>
      </c>
      <c r="D149" s="2">
        <f ca="1">IFERROR(__xludf.DUMMYFUNCTION("IF($A149="""","""", IFERROR(
  INDEX(
    FILTER(CPI_US!$D$2:$D$130, MONTH(CPI_US!$A$2:$A$130)=MONTH($A149), YEAR(CPI_US!$A$2:$A$130)=YEAR($A149)),
    1
  ),
""""))"),2.19999999999999)</f>
        <v>2.19999999999999</v>
      </c>
      <c r="E149" s="2">
        <v>5.306</v>
      </c>
      <c r="F149" s="2">
        <v>1.1599999999999999</v>
      </c>
      <c r="G149" s="2">
        <v>868</v>
      </c>
      <c r="H149" s="2">
        <v>2587.8000000000002</v>
      </c>
      <c r="I149" s="2">
        <v>14.2</v>
      </c>
      <c r="J149" s="2">
        <v>51.1</v>
      </c>
      <c r="K149" s="2">
        <f ca="1">IFERROR(__xludf.DUMMYFUNCTION("IF($A149="""","""", IFERROR(
  INDEX(
    FILTER(IMEX_VN!$B$2:$B$130, MONTH(IMEX_VN!$A$2:$A$130)=MONTH($A149), YEAR(IMEX_VN!$A$2:$A$130)=YEAR($A149)),
    1
  ),
""""))"),2.19999999999999)</f>
        <v>2.19999999999999</v>
      </c>
      <c r="L149" s="6">
        <v>95</v>
      </c>
      <c r="M149" s="7">
        <v>42.3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8">
        <v>43044</v>
      </c>
      <c r="B150" s="9">
        <v>22701</v>
      </c>
      <c r="C150" s="2">
        <v>0.1</v>
      </c>
      <c r="D150" s="2">
        <f ca="1">IFERROR(__xludf.DUMMYFUNCTION("IF($A150="""","""", IFERROR(
  INDEX(
    FILTER(CPI_US!$D$2:$D$130, MONTH(CPI_US!$A$2:$A$130)=MONTH($A150), YEAR(CPI_US!$A$2:$A$130)=YEAR($A150)),
    1
  ),
""""))"),2)</f>
        <v>2</v>
      </c>
      <c r="E150" s="2">
        <v>5.3109999999999999</v>
      </c>
      <c r="F150" s="2">
        <v>1.1599999999999999</v>
      </c>
      <c r="G150" s="2">
        <v>890</v>
      </c>
      <c r="H150" s="2">
        <v>2582.3000000000002</v>
      </c>
      <c r="I150" s="2">
        <v>16</v>
      </c>
      <c r="J150" s="2">
        <v>51.1</v>
      </c>
      <c r="K150" s="2">
        <f ca="1">IFERROR(__xludf.DUMMYFUNCTION("IF($A150="""","""", IFERROR(
  INDEX(
    FILTER(IMEX_VN!$B$2:$B$130, MONTH(IMEX_VN!$A$2:$A$130)=MONTH($A150), YEAR(IMEX_VN!$A$2:$A$130)=YEAR($A150)),
    1
  ),
""""))"),0.600000000000001)</f>
        <v>0.60000000000000098</v>
      </c>
      <c r="L150" s="6">
        <v>94</v>
      </c>
      <c r="M150" s="7">
        <v>43.5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8">
        <v>43051</v>
      </c>
      <c r="B151" s="9">
        <v>22712</v>
      </c>
      <c r="C151" s="2">
        <v>0.1</v>
      </c>
      <c r="D151" s="2">
        <f ca="1">IFERROR(__xludf.DUMMYFUNCTION("IF($A151="""","""", IFERROR(
  INDEX(
    FILTER(CPI_US!$D$2:$D$130, MONTH(CPI_US!$A$2:$A$130)=MONTH($A151), YEAR(CPI_US!$A$2:$A$130)=YEAR($A151)),
    1
  ),
""""))"),2)</f>
        <v>2</v>
      </c>
      <c r="E151" s="2">
        <v>5.4029999999999996</v>
      </c>
      <c r="F151" s="2">
        <v>1.1599999999999999</v>
      </c>
      <c r="G151" s="2">
        <v>935</v>
      </c>
      <c r="H151" s="2">
        <v>2578.8000000000002</v>
      </c>
      <c r="I151" s="2">
        <v>16</v>
      </c>
      <c r="J151" s="2">
        <v>51.1</v>
      </c>
      <c r="K151" s="2">
        <f ca="1">IFERROR(__xludf.DUMMYFUNCTION("IF($A151="""","""", IFERROR(
  INDEX(
    FILTER(IMEX_VN!$B$2:$B$130, MONTH(IMEX_VN!$A$2:$A$130)=MONTH($A151), YEAR(IMEX_VN!$A$2:$A$130)=YEAR($A151)),
    1
  ),
""""))"),0.600000000000001)</f>
        <v>0.60000000000000098</v>
      </c>
      <c r="L151" s="6">
        <v>94</v>
      </c>
      <c r="M151" s="7">
        <v>43.5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8">
        <v>43058</v>
      </c>
      <c r="B152" s="9">
        <v>22715</v>
      </c>
      <c r="C152" s="2">
        <v>0.1</v>
      </c>
      <c r="D152" s="2">
        <f ca="1">IFERROR(__xludf.DUMMYFUNCTION("IF($A152="""","""", IFERROR(
  INDEX(
    FILTER(CPI_US!$D$2:$D$130, MONTH(CPI_US!$A$2:$A$130)=MONTH($A152), YEAR(CPI_US!$A$2:$A$130)=YEAR($A152)),
    1
  ),
""""))"),2)</f>
        <v>2</v>
      </c>
      <c r="E152" s="2">
        <v>5.4080000000000004</v>
      </c>
      <c r="F152" s="2">
        <v>1.1599999999999999</v>
      </c>
      <c r="G152" s="2">
        <v>960</v>
      </c>
      <c r="H152" s="2">
        <v>2602.4</v>
      </c>
      <c r="I152" s="2">
        <v>16</v>
      </c>
      <c r="J152" s="2">
        <v>51.1</v>
      </c>
      <c r="K152" s="2">
        <f ca="1">IFERROR(__xludf.DUMMYFUNCTION("IF($A152="""","""", IFERROR(
  INDEX(
    FILTER(IMEX_VN!$B$2:$B$130, MONTH(IMEX_VN!$A$2:$A$130)=MONTH($A152), YEAR(IMEX_VN!$A$2:$A$130)=YEAR($A152)),
    1
  ),
""""))"),0.600000000000001)</f>
        <v>0.60000000000000098</v>
      </c>
      <c r="L152" s="6">
        <v>93</v>
      </c>
      <c r="M152" s="7">
        <v>43.5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8">
        <v>43065</v>
      </c>
      <c r="B153" s="9">
        <v>22700</v>
      </c>
      <c r="C153" s="2">
        <v>0.1</v>
      </c>
      <c r="D153" s="2">
        <f ca="1">IFERROR(__xludf.DUMMYFUNCTION("IF($A153="""","""", IFERROR(
  INDEX(
    FILTER(CPI_US!$D$2:$D$130, MONTH(CPI_US!$A$2:$A$130)=MONTH($A153), YEAR(CPI_US!$A$2:$A$130)=YEAR($A153)),
    1
  ),
""""))"),2)</f>
        <v>2</v>
      </c>
      <c r="E153" s="2">
        <v>5.383</v>
      </c>
      <c r="F153" s="2">
        <v>1.1599999999999999</v>
      </c>
      <c r="G153" s="2">
        <v>940</v>
      </c>
      <c r="H153" s="2">
        <v>2642.2</v>
      </c>
      <c r="I153" s="2">
        <v>16</v>
      </c>
      <c r="J153" s="2">
        <v>51.1</v>
      </c>
      <c r="K153" s="2">
        <f ca="1">IFERROR(__xludf.DUMMYFUNCTION("IF($A153="""","""", IFERROR(
  INDEX(
    FILTER(IMEX_VN!$B$2:$B$130, MONTH(IMEX_VN!$A$2:$A$130)=MONTH($A153), YEAR(IMEX_VN!$A$2:$A$130)=YEAR($A153)),
    1
  ),
""""))"),0.600000000000001)</f>
        <v>0.60000000000000098</v>
      </c>
      <c r="L153" s="6">
        <v>93</v>
      </c>
      <c r="M153" s="7">
        <v>43.5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8">
        <v>43072</v>
      </c>
      <c r="B154" s="9">
        <v>22710</v>
      </c>
      <c r="C154" s="2">
        <v>0.2</v>
      </c>
      <c r="D154" s="2">
        <f ca="1">IFERROR(__xludf.DUMMYFUNCTION("IF($A154="""","""", IFERROR(
  INDEX(
    FILTER(CPI_US!$D$2:$D$130, MONTH(CPI_US!$A$2:$A$130)=MONTH($A154), YEAR(CPI_US!$A$2:$A$130)=YEAR($A154)),
    1
  ),
""""))"),2.19999999999999)</f>
        <v>2.19999999999999</v>
      </c>
      <c r="E154" s="2">
        <v>5.36</v>
      </c>
      <c r="F154" s="2">
        <v>1.1599999999999999</v>
      </c>
      <c r="G154" s="2">
        <v>935</v>
      </c>
      <c r="H154" s="2">
        <v>2651.5</v>
      </c>
      <c r="I154" s="2">
        <v>17.5</v>
      </c>
      <c r="J154" s="2">
        <v>51.1</v>
      </c>
      <c r="K154" s="2">
        <f ca="1">IFERROR(__xludf.DUMMYFUNCTION("IF($A154="""","""", IFERROR(
  INDEX(
    FILTER(IMEX_VN!$B$2:$B$130, MONTH(IMEX_VN!$A$2:$A$130)=MONTH($A154), YEAR(IMEX_VN!$A$2:$A$130)=YEAR($A154)),
    1
  ),
""""))"),-0.199999999999999)</f>
        <v>-0.19999999999999901</v>
      </c>
      <c r="L154" s="6">
        <v>94</v>
      </c>
      <c r="M154" s="7">
        <v>48.7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8">
        <v>43079</v>
      </c>
      <c r="B155" s="9">
        <v>22700</v>
      </c>
      <c r="C155" s="2">
        <v>0.2</v>
      </c>
      <c r="D155" s="2">
        <f ca="1">IFERROR(__xludf.DUMMYFUNCTION("IF($A155="""","""", IFERROR(
  INDEX(
    FILTER(CPI_US!$D$2:$D$130, MONTH(CPI_US!$A$2:$A$130)=MONTH($A155), YEAR(CPI_US!$A$2:$A$130)=YEAR($A155)),
    1
  ),
""""))"),2.19999999999999)</f>
        <v>2.19999999999999</v>
      </c>
      <c r="E155" s="2">
        <v>5.2</v>
      </c>
      <c r="F155" s="2">
        <v>1.1599999999999999</v>
      </c>
      <c r="G155" s="2">
        <v>952</v>
      </c>
      <c r="H155" s="2">
        <v>2675.8</v>
      </c>
      <c r="I155" s="2">
        <v>17.5</v>
      </c>
      <c r="J155" s="2">
        <v>51.1</v>
      </c>
      <c r="K155" s="2">
        <f ca="1">IFERROR(__xludf.DUMMYFUNCTION("IF($A155="""","""", IFERROR(
  INDEX(
    FILTER(IMEX_VN!$B$2:$B$130, MONTH(IMEX_VN!$A$2:$A$130)=MONTH($A155), YEAR(IMEX_VN!$A$2:$A$130)=YEAR($A155)),
    1
  ),
""""))"),-0.199999999999999)</f>
        <v>-0.19999999999999901</v>
      </c>
      <c r="L155" s="6">
        <v>94</v>
      </c>
      <c r="M155" s="7">
        <v>48.7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8">
        <v>43086</v>
      </c>
      <c r="B156" s="9">
        <v>22701</v>
      </c>
      <c r="C156" s="2">
        <v>0.2</v>
      </c>
      <c r="D156" s="2">
        <f ca="1">IFERROR(__xludf.DUMMYFUNCTION("IF($A156="""","""", IFERROR(
  INDEX(
    FILTER(CPI_US!$D$2:$D$130, MONTH(CPI_US!$A$2:$A$130)=MONTH($A156), YEAR(CPI_US!$A$2:$A$130)=YEAR($A156)),
    1
  ),
""""))"),2.19999999999999)</f>
        <v>2.19999999999999</v>
      </c>
      <c r="E156" s="2">
        <v>5.016</v>
      </c>
      <c r="F156" s="2">
        <v>1.41</v>
      </c>
      <c r="G156" s="2">
        <v>984</v>
      </c>
      <c r="H156" s="2">
        <v>2683.3</v>
      </c>
      <c r="I156" s="2">
        <v>17.5</v>
      </c>
      <c r="J156" s="2">
        <v>51.1</v>
      </c>
      <c r="K156" s="2">
        <f ca="1">IFERROR(__xludf.DUMMYFUNCTION("IF($A156="""","""", IFERROR(
  INDEX(
    FILTER(IMEX_VN!$B$2:$B$130, MONTH(IMEX_VN!$A$2:$A$130)=MONTH($A156), YEAR(IMEX_VN!$A$2:$A$130)=YEAR($A156)),
    1
  ),
""""))"),-0.199999999999999)</f>
        <v>-0.19999999999999901</v>
      </c>
      <c r="L156" s="6">
        <v>93</v>
      </c>
      <c r="M156" s="7">
        <v>48.7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8">
        <v>43093</v>
      </c>
      <c r="B157" s="9">
        <v>22700</v>
      </c>
      <c r="C157" s="2">
        <v>0.2</v>
      </c>
      <c r="D157" s="2">
        <f ca="1">IFERROR(__xludf.DUMMYFUNCTION("IF($A157="""","""", IFERROR(
  INDEX(
    FILTER(CPI_US!$D$2:$D$130, MONTH(CPI_US!$A$2:$A$130)=MONTH($A157), YEAR(CPI_US!$A$2:$A$130)=YEAR($A157)),
    1
  ),
""""))"),2.19999999999999)</f>
        <v>2.19999999999999</v>
      </c>
      <c r="E157" s="2">
        <v>5.0529999999999999</v>
      </c>
      <c r="F157" s="2">
        <v>1.42</v>
      </c>
      <c r="G157" s="2">
        <v>1012</v>
      </c>
      <c r="H157" s="2">
        <v>2673.6</v>
      </c>
      <c r="I157" s="2">
        <v>17.5</v>
      </c>
      <c r="J157" s="2">
        <v>51.1</v>
      </c>
      <c r="K157" s="2">
        <f ca="1">IFERROR(__xludf.DUMMYFUNCTION("IF($A157="""","""", IFERROR(
  INDEX(
    FILTER(IMEX_VN!$B$2:$B$130, MONTH(IMEX_VN!$A$2:$A$130)=MONTH($A157), YEAR(IMEX_VN!$A$2:$A$130)=YEAR($A157)),
    1
  ),
""""))"),-0.199999999999999)</f>
        <v>-0.19999999999999901</v>
      </c>
      <c r="L157" s="6">
        <v>92</v>
      </c>
      <c r="M157" s="7">
        <v>48.7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8">
        <v>43100</v>
      </c>
      <c r="B158" s="9">
        <v>22709</v>
      </c>
      <c r="C158" s="2">
        <v>0.2</v>
      </c>
      <c r="D158" s="2">
        <f ca="1">IFERROR(__xludf.DUMMYFUNCTION("IF($A158="""","""", IFERROR(
  INDEX(
    FILTER(CPI_US!$D$2:$D$130, MONTH(CPI_US!$A$2:$A$130)=MONTH($A158), YEAR(CPI_US!$A$2:$A$130)=YEAR($A158)),
    1
  ),
""""))"),2.19999999999999)</f>
        <v>2.19999999999999</v>
      </c>
      <c r="E158" s="2">
        <v>5.1059999999999999</v>
      </c>
      <c r="F158" s="2">
        <v>1.33</v>
      </c>
      <c r="G158" s="2">
        <v>1050</v>
      </c>
      <c r="H158" s="2">
        <v>2743.2</v>
      </c>
      <c r="I158" s="2">
        <v>17.5</v>
      </c>
      <c r="J158" s="2">
        <v>51.1</v>
      </c>
      <c r="K158" s="2">
        <f ca="1">IFERROR(__xludf.DUMMYFUNCTION("IF($A158="""","""", IFERROR(
  INDEX(
    FILTER(IMEX_VN!$B$2:$B$130, MONTH(IMEX_VN!$A$2:$A$130)=MONTH($A158), YEAR(IMEX_VN!$A$2:$A$130)=YEAR($A158)),
    1
  ),
""""))"),-0.199999999999999)</f>
        <v>-0.19999999999999901</v>
      </c>
      <c r="L158" s="6">
        <v>92</v>
      </c>
      <c r="M158" s="7">
        <v>48.7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8">
        <v>43107</v>
      </c>
      <c r="B159" s="9">
        <v>22708</v>
      </c>
      <c r="C159" s="2">
        <v>0.5</v>
      </c>
      <c r="D159" s="2">
        <f ca="1">IFERROR(__xludf.DUMMYFUNCTION("IF($A159="""","""", IFERROR(
  INDEX(
    FILTER(CPI_US!$D$2:$D$130, MONTH(CPI_US!$A$2:$A$130)=MONTH($A159), YEAR(CPI_US!$A$2:$A$130)=YEAR($A159)),
    1
  ),
""""))"),2.1)</f>
        <v>2.1</v>
      </c>
      <c r="E159" s="2">
        <v>4.7169999999999996</v>
      </c>
      <c r="F159" s="2">
        <v>1.42</v>
      </c>
      <c r="G159" s="2">
        <v>1062</v>
      </c>
      <c r="H159" s="2">
        <v>2786.2</v>
      </c>
      <c r="I159" s="2">
        <v>1.05</v>
      </c>
      <c r="J159" s="2">
        <v>43</v>
      </c>
      <c r="K159" s="2">
        <f ca="1">IFERROR(__xludf.DUMMYFUNCTION("IF($A159="""","""", IFERROR(
  INDEX(
    FILTER(IMEX_VN!$B$2:$B$130, MONTH(IMEX_VN!$A$2:$A$130)=MONTH($A159), YEAR(IMEX_VN!$A$2:$A$130)=YEAR($A159)),
    1
  ),
""""))"),0.199999999999999)</f>
        <v>0.19999999999999901</v>
      </c>
      <c r="L159" s="6">
        <v>91</v>
      </c>
      <c r="M159" s="7">
        <v>52.7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8">
        <v>43114</v>
      </c>
      <c r="B160" s="9">
        <v>22700</v>
      </c>
      <c r="C160" s="2">
        <v>0.5</v>
      </c>
      <c r="D160" s="2">
        <f ca="1">IFERROR(__xludf.DUMMYFUNCTION("IF($A160="""","""", IFERROR(
  INDEX(
    FILTER(CPI_US!$D$2:$D$130, MONTH(CPI_US!$A$2:$A$130)=MONTH($A160), YEAR(CPI_US!$A$2:$A$130)=YEAR($A160)),
    1
  ),
""""))"),2.1)</f>
        <v>2.1</v>
      </c>
      <c r="E160" s="2">
        <v>4.5590000000000002</v>
      </c>
      <c r="F160" s="2">
        <v>1.42</v>
      </c>
      <c r="G160" s="2">
        <v>1115</v>
      </c>
      <c r="H160" s="2">
        <v>2810.3</v>
      </c>
      <c r="I160" s="2">
        <v>1.05</v>
      </c>
      <c r="J160" s="2">
        <v>43</v>
      </c>
      <c r="K160" s="2">
        <f ca="1">IFERROR(__xludf.DUMMYFUNCTION("IF($A160="""","""", IFERROR(
  INDEX(
    FILTER(IMEX_VN!$B$2:$B$130, MONTH(IMEX_VN!$A$2:$A$130)=MONTH($A160), YEAR(IMEX_VN!$A$2:$A$130)=YEAR($A160)),
    1
  ),
""""))"),0.199999999999999)</f>
        <v>0.19999999999999901</v>
      </c>
      <c r="L160" s="6">
        <v>91</v>
      </c>
      <c r="M160" s="7">
        <v>52.7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8">
        <v>43121</v>
      </c>
      <c r="B161" s="9">
        <v>22710</v>
      </c>
      <c r="C161" s="2">
        <v>0.5</v>
      </c>
      <c r="D161" s="2">
        <f ca="1">IFERROR(__xludf.DUMMYFUNCTION("IF($A161="""","""", IFERROR(
  INDEX(
    FILTER(CPI_US!$D$2:$D$130, MONTH(CPI_US!$A$2:$A$130)=MONTH($A161), YEAR(CPI_US!$A$2:$A$130)=YEAR($A161)),
    1
  ),
""""))"),2.1)</f>
        <v>2.1</v>
      </c>
      <c r="E161" s="2">
        <v>4.0949999999999998</v>
      </c>
      <c r="F161" s="2">
        <v>1.42</v>
      </c>
      <c r="G161" s="2">
        <v>1105</v>
      </c>
      <c r="H161" s="2">
        <v>2872.9</v>
      </c>
      <c r="I161" s="2">
        <v>1.05</v>
      </c>
      <c r="J161" s="2">
        <v>43</v>
      </c>
      <c r="K161" s="2">
        <f ca="1">IFERROR(__xludf.DUMMYFUNCTION("IF($A161="""","""", IFERROR(
  INDEX(
    FILTER(IMEX_VN!$B$2:$B$130, MONTH(IMEX_VN!$A$2:$A$130)=MONTH($A161), YEAR(IMEX_VN!$A$2:$A$130)=YEAR($A161)),
    1
  ),
""""))"),0.199999999999999)</f>
        <v>0.19999999999999901</v>
      </c>
      <c r="L161" s="6">
        <v>89</v>
      </c>
      <c r="M161" s="7">
        <v>52.7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8">
        <v>43128</v>
      </c>
      <c r="B162" s="9">
        <v>22709</v>
      </c>
      <c r="C162" s="2">
        <v>0.5</v>
      </c>
      <c r="D162" s="2">
        <f ca="1">IFERROR(__xludf.DUMMYFUNCTION("IF($A162="""","""", IFERROR(
  INDEX(
    FILTER(CPI_US!$D$2:$D$130, MONTH(CPI_US!$A$2:$A$130)=MONTH($A162), YEAR(CPI_US!$A$2:$A$130)=YEAR($A162)),
    1
  ),
""""))"),2.1)</f>
        <v>2.1</v>
      </c>
      <c r="E162" s="2">
        <v>4.3029999999999999</v>
      </c>
      <c r="F162" s="2">
        <v>1.42</v>
      </c>
      <c r="G162" s="2">
        <v>1003</v>
      </c>
      <c r="H162" s="2">
        <v>2762.1</v>
      </c>
      <c r="I162" s="2">
        <v>1.05</v>
      </c>
      <c r="J162" s="2">
        <v>43</v>
      </c>
      <c r="K162" s="2">
        <f ca="1">IFERROR(__xludf.DUMMYFUNCTION("IF($A162="""","""", IFERROR(
  INDEX(
    FILTER(IMEX_VN!$B$2:$B$130, MONTH(IMEX_VN!$A$2:$A$130)=MONTH($A162), YEAR(IMEX_VN!$A$2:$A$130)=YEAR($A162)),
    1
  ),
""""))"),0.199999999999999)</f>
        <v>0.19999999999999901</v>
      </c>
      <c r="L162" s="6">
        <v>89</v>
      </c>
      <c r="M162" s="7">
        <v>52.7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8">
        <v>43135</v>
      </c>
      <c r="B163" s="9">
        <v>22690</v>
      </c>
      <c r="C163" s="2">
        <v>0.7</v>
      </c>
      <c r="D163" s="2">
        <f ca="1">IFERROR(__xludf.DUMMYFUNCTION("IF($A163="""","""", IFERROR(
  INDEX(
    FILTER(CPI_US!$D$2:$D$130, MONTH(CPI_US!$A$2:$A$130)=MONTH($A163), YEAR(CPI_US!$A$2:$A$130)=YEAR($A163)),
    1
  ),
""""))"),2.1)</f>
        <v>2.1</v>
      </c>
      <c r="E163" s="2">
        <v>4.3840000000000003</v>
      </c>
      <c r="F163" s="2">
        <v>1.42</v>
      </c>
      <c r="G163" s="2">
        <v>1059</v>
      </c>
      <c r="H163" s="2">
        <v>2619.6</v>
      </c>
      <c r="I163" s="2">
        <v>1.7</v>
      </c>
      <c r="J163" s="2">
        <v>43</v>
      </c>
      <c r="K163" s="2">
        <f ca="1">IFERROR(__xludf.DUMMYFUNCTION("IF($A163="""","""", IFERROR(
  INDEX(
    FILTER(IMEX_VN!$B$2:$B$130, MONTH(IMEX_VN!$A$2:$A$130)=MONTH($A163), YEAR(IMEX_VN!$A$2:$A$130)=YEAR($A163)),
    1
  ),
""""))"),0.3)</f>
        <v>0.3</v>
      </c>
      <c r="L163" s="6">
        <v>90</v>
      </c>
      <c r="M163" s="7">
        <v>55.5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8">
        <v>43142</v>
      </c>
      <c r="B164" s="9">
        <v>22695</v>
      </c>
      <c r="C164" s="2">
        <v>0.7</v>
      </c>
      <c r="D164" s="2">
        <f ca="1">IFERROR(__xludf.DUMMYFUNCTION("IF($A164="""","""", IFERROR(
  INDEX(
    FILTER(CPI_US!$D$2:$D$130, MONTH(CPI_US!$A$2:$A$130)=MONTH($A164), YEAR(CPI_US!$A$2:$A$130)=YEAR($A164)),
    1
  ),
""""))"),2.1)</f>
        <v>2.1</v>
      </c>
      <c r="E164" s="2">
        <v>4.3609999999999998</v>
      </c>
      <c r="F164" s="2">
        <v>1.42</v>
      </c>
      <c r="G164" s="2">
        <v>1102</v>
      </c>
      <c r="H164" s="2">
        <v>2732.2</v>
      </c>
      <c r="I164" s="2">
        <v>1.7</v>
      </c>
      <c r="J164" s="2">
        <v>43</v>
      </c>
      <c r="K164" s="2">
        <f ca="1">IFERROR(__xludf.DUMMYFUNCTION("IF($A164="""","""", IFERROR(
  INDEX(
    FILTER(IMEX_VN!$B$2:$B$130, MONTH(IMEX_VN!$A$2:$A$130)=MONTH($A164), YEAR(IMEX_VN!$A$2:$A$130)=YEAR($A164)),
    1
  ),
""""))"),0.3)</f>
        <v>0.3</v>
      </c>
      <c r="L164" s="6">
        <v>89</v>
      </c>
      <c r="M164" s="7">
        <v>55.5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8">
        <v>43149</v>
      </c>
      <c r="B165" s="9">
        <v>22740</v>
      </c>
      <c r="C165" s="2">
        <v>0.7</v>
      </c>
      <c r="D165" s="2">
        <f ca="1">IFERROR(__xludf.DUMMYFUNCTION("IF($A165="""","""", IFERROR(
  INDEX(
    FILTER(CPI_US!$D$2:$D$130, MONTH(CPI_US!$A$2:$A$130)=MONTH($A165), YEAR(CPI_US!$A$2:$A$130)=YEAR($A165)),
    1
  ),
""""))"),2.1)</f>
        <v>2.1</v>
      </c>
      <c r="E165" s="2">
        <v>4.266</v>
      </c>
      <c r="F165" s="2">
        <v>1.42</v>
      </c>
      <c r="G165" s="2">
        <v>1121</v>
      </c>
      <c r="H165" s="2">
        <v>2747.3</v>
      </c>
      <c r="I165" s="2">
        <v>1.7</v>
      </c>
      <c r="J165" s="2">
        <v>43</v>
      </c>
      <c r="K165" s="2">
        <f ca="1">IFERROR(__xludf.DUMMYFUNCTION("IF($A165="""","""", IFERROR(
  INDEX(
    FILTER(IMEX_VN!$B$2:$B$130, MONTH(IMEX_VN!$A$2:$A$130)=MONTH($A165), YEAR(IMEX_VN!$A$2:$A$130)=YEAR($A165)),
    1
  ),
""""))"),0.3)</f>
        <v>0.3</v>
      </c>
      <c r="L165" s="6">
        <v>90</v>
      </c>
      <c r="M165" s="7">
        <v>55.5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8">
        <v>43156</v>
      </c>
      <c r="B166" s="9">
        <v>22760</v>
      </c>
      <c r="C166" s="2">
        <v>0.7</v>
      </c>
      <c r="D166" s="2">
        <f ca="1">IFERROR(__xludf.DUMMYFUNCTION("IF($A166="""","""", IFERROR(
  INDEX(
    FILTER(CPI_US!$D$2:$D$130, MONTH(CPI_US!$A$2:$A$130)=MONTH($A166), YEAR(CPI_US!$A$2:$A$130)=YEAR($A166)),
    1
  ),
""""))"),2.1)</f>
        <v>2.1</v>
      </c>
      <c r="E166" s="2">
        <v>4.1989999999999998</v>
      </c>
      <c r="F166" s="2">
        <v>1.42</v>
      </c>
      <c r="G166" s="2">
        <v>1123</v>
      </c>
      <c r="H166" s="2">
        <v>2691.2</v>
      </c>
      <c r="I166" s="2">
        <v>1.7</v>
      </c>
      <c r="J166" s="2">
        <v>43</v>
      </c>
      <c r="K166" s="2">
        <f ca="1">IFERROR(__xludf.DUMMYFUNCTION("IF($A166="""","""", IFERROR(
  INDEX(
    FILTER(IMEX_VN!$B$2:$B$130, MONTH(IMEX_VN!$A$2:$A$130)=MONTH($A166), YEAR(IMEX_VN!$A$2:$A$130)=YEAR($A166)),
    1
  ),
""""))"),0.3)</f>
        <v>0.3</v>
      </c>
      <c r="L166" s="6">
        <v>90</v>
      </c>
      <c r="M166" s="7">
        <v>55.5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8">
        <v>43163</v>
      </c>
      <c r="B167" s="9">
        <v>22760</v>
      </c>
      <c r="C167" s="2">
        <v>-0.3</v>
      </c>
      <c r="D167" s="2">
        <f ca="1">IFERROR(__xludf.DUMMYFUNCTION("IF($A167="""","""", IFERROR(
  INDEX(
    FILTER(CPI_US!$D$2:$D$130, MONTH(CPI_US!$A$2:$A$130)=MONTH($A167), YEAR(CPI_US!$A$2:$A$130)=YEAR($A167)),
    1
  ),
""""))"),2.19999999999999)</f>
        <v>2.19999999999999</v>
      </c>
      <c r="E167" s="2">
        <v>4.1529999999999996</v>
      </c>
      <c r="F167" s="2">
        <v>1.42</v>
      </c>
      <c r="G167" s="2">
        <v>1150</v>
      </c>
      <c r="H167" s="2">
        <v>2786.6</v>
      </c>
      <c r="I167" s="2">
        <v>3.89</v>
      </c>
      <c r="J167" s="2">
        <v>43</v>
      </c>
      <c r="K167" s="2">
        <f ca="1">IFERROR(__xludf.DUMMYFUNCTION("IF($A167="""","""", IFERROR(
  INDEX(
    FILTER(IMEX_VN!$B$2:$B$130, MONTH(IMEX_VN!$A$2:$A$130)=MONTH($A167), YEAR(IMEX_VN!$A$2:$A$130)=YEAR($A167)),
    1
  ),
""""))"),2.2)</f>
        <v>2.2000000000000002</v>
      </c>
      <c r="L167" s="6">
        <v>90</v>
      </c>
      <c r="M167" s="7">
        <v>55.9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8">
        <v>43170</v>
      </c>
      <c r="B168" s="9">
        <v>22764</v>
      </c>
      <c r="C168" s="2">
        <v>-0.3</v>
      </c>
      <c r="D168" s="2">
        <f ca="1">IFERROR(__xludf.DUMMYFUNCTION("IF($A168="""","""", IFERROR(
  INDEX(
    FILTER(CPI_US!$D$2:$D$130, MONTH(CPI_US!$A$2:$A$130)=MONTH($A168), YEAR(CPI_US!$A$2:$A$130)=YEAR($A168)),
    1
  ),
""""))"),2.19999999999999)</f>
        <v>2.19999999999999</v>
      </c>
      <c r="E168" s="2">
        <v>4.16</v>
      </c>
      <c r="F168" s="2">
        <v>1.42</v>
      </c>
      <c r="G168" s="2">
        <v>1153</v>
      </c>
      <c r="H168" s="2">
        <v>2752</v>
      </c>
      <c r="I168" s="2">
        <v>3.89</v>
      </c>
      <c r="J168" s="2">
        <v>43</v>
      </c>
      <c r="K168" s="2">
        <f ca="1">IFERROR(__xludf.DUMMYFUNCTION("IF($A168="""","""", IFERROR(
  INDEX(
    FILTER(IMEX_VN!$B$2:$B$130, MONTH(IMEX_VN!$A$2:$A$130)=MONTH($A168), YEAR(IMEX_VN!$A$2:$A$130)=YEAR($A168)),
    1
  ),
""""))"),2.2)</f>
        <v>2.2000000000000002</v>
      </c>
      <c r="L168" s="6">
        <v>90</v>
      </c>
      <c r="M168" s="7">
        <v>55.9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8">
        <v>43177</v>
      </c>
      <c r="B169" s="9">
        <v>22802</v>
      </c>
      <c r="C169" s="2">
        <v>-0.3</v>
      </c>
      <c r="D169" s="2">
        <f ca="1">IFERROR(__xludf.DUMMYFUNCTION("IF($A169="""","""", IFERROR(
  INDEX(
    FILTER(CPI_US!$D$2:$D$130, MONTH(CPI_US!$A$2:$A$130)=MONTH($A169), YEAR(CPI_US!$A$2:$A$130)=YEAR($A169)),
    1
  ),
""""))"),2.19999999999999)</f>
        <v>2.19999999999999</v>
      </c>
      <c r="E169" s="2">
        <v>4.165</v>
      </c>
      <c r="F169" s="2">
        <v>1.43</v>
      </c>
      <c r="G169" s="2">
        <v>1174</v>
      </c>
      <c r="H169" s="2">
        <v>2588.3000000000002</v>
      </c>
      <c r="I169" s="2">
        <v>3.89</v>
      </c>
      <c r="J169" s="2">
        <v>43</v>
      </c>
      <c r="K169" s="2">
        <f ca="1">IFERROR(__xludf.DUMMYFUNCTION("IF($A169="""","""", IFERROR(
  INDEX(
    FILTER(IMEX_VN!$B$2:$B$130, MONTH(IMEX_VN!$A$2:$A$130)=MONTH($A169), YEAR(IMEX_VN!$A$2:$A$130)=YEAR($A169)),
    1
  ),
""""))"),2.2)</f>
        <v>2.2000000000000002</v>
      </c>
      <c r="L169" s="6">
        <v>89</v>
      </c>
      <c r="M169" s="7">
        <v>55.9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8">
        <v>43184</v>
      </c>
      <c r="B170" s="9">
        <v>22793</v>
      </c>
      <c r="C170" s="2">
        <v>-0.3</v>
      </c>
      <c r="D170" s="2">
        <f ca="1">IFERROR(__xludf.DUMMYFUNCTION("IF($A170="""","""", IFERROR(
  INDEX(
    FILTER(CPI_US!$D$2:$D$130, MONTH(CPI_US!$A$2:$A$130)=MONTH($A170), YEAR(CPI_US!$A$2:$A$130)=YEAR($A170)),
    1
  ),
""""))"),2.19999999999999)</f>
        <v>2.19999999999999</v>
      </c>
      <c r="E170" s="2">
        <v>4.1959999999999997</v>
      </c>
      <c r="F170" s="2">
        <v>1.68</v>
      </c>
      <c r="G170" s="2">
        <v>1199</v>
      </c>
      <c r="H170" s="2">
        <v>2640.9</v>
      </c>
      <c r="I170" s="2">
        <v>3.89</v>
      </c>
      <c r="J170" s="2">
        <v>43</v>
      </c>
      <c r="K170" s="2">
        <f ca="1">IFERROR(__xludf.DUMMYFUNCTION("IF($A170="""","""", IFERROR(
  INDEX(
    FILTER(IMEX_VN!$B$2:$B$130, MONTH(IMEX_VN!$A$2:$A$130)=MONTH($A170), YEAR(IMEX_VN!$A$2:$A$130)=YEAR($A170)),
    1
  ),
""""))"),2.2)</f>
        <v>2.2000000000000002</v>
      </c>
      <c r="L170" s="6">
        <v>90</v>
      </c>
      <c r="M170" s="7">
        <v>55.9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8">
        <v>43191</v>
      </c>
      <c r="B171" s="9">
        <v>22800</v>
      </c>
      <c r="C171" s="2">
        <v>0.1</v>
      </c>
      <c r="D171" s="2">
        <f ca="1">IFERROR(__xludf.DUMMYFUNCTION("IF($A171="""","""", IFERROR(
  INDEX(
    FILTER(CPI_US!$D$2:$D$130, MONTH(CPI_US!$A$2:$A$130)=MONTH($A171), YEAR(CPI_US!$A$2:$A$130)=YEAR($A171)),
    1
  ),
""""))"),2.4)</f>
        <v>2.4</v>
      </c>
      <c r="E171" s="2">
        <v>4.2850000000000001</v>
      </c>
      <c r="F171" s="2">
        <v>1.67</v>
      </c>
      <c r="G171" s="2">
        <v>1157</v>
      </c>
      <c r="H171" s="2">
        <v>2604.5</v>
      </c>
      <c r="I171" s="2">
        <v>5.0999999999999996</v>
      </c>
      <c r="J171" s="2">
        <v>53.9</v>
      </c>
      <c r="K171" s="2">
        <f ca="1">IFERROR(__xludf.DUMMYFUNCTION("IF($A171="""","""", IFERROR(
  INDEX(
    FILTER(IMEX_VN!$B$2:$B$130, MONTH(IMEX_VN!$A$2:$A$130)=MONTH($A171), YEAR(IMEX_VN!$A$2:$A$130)=YEAR($A171)),
    1
  ),
""""))"),1.19999999999999)</f>
        <v>1.19999999999999</v>
      </c>
      <c r="L171" s="6">
        <v>90</v>
      </c>
      <c r="M171" s="7">
        <v>55.9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8">
        <v>43198</v>
      </c>
      <c r="B172" s="9">
        <v>22784</v>
      </c>
      <c r="C172" s="2">
        <v>0.1</v>
      </c>
      <c r="D172" s="2">
        <f ca="1">IFERROR(__xludf.DUMMYFUNCTION("IF($A172="""","""", IFERROR(
  INDEX(
    FILTER(CPI_US!$D$2:$D$130, MONTH(CPI_US!$A$2:$A$130)=MONTH($A172), YEAR(CPI_US!$A$2:$A$130)=YEAR($A172)),
    1
  ),
""""))"),2.4)</f>
        <v>2.4</v>
      </c>
      <c r="E172" s="2">
        <v>4.359</v>
      </c>
      <c r="F172" s="2">
        <v>1.69</v>
      </c>
      <c r="G172" s="2">
        <v>1119</v>
      </c>
      <c r="H172" s="2">
        <v>2656.3</v>
      </c>
      <c r="I172" s="2">
        <v>5.0999999999999996</v>
      </c>
      <c r="J172" s="2">
        <v>53.9</v>
      </c>
      <c r="K172" s="2">
        <f ca="1">IFERROR(__xludf.DUMMYFUNCTION("IF($A172="""","""", IFERROR(
  INDEX(
    FILTER(IMEX_VN!$B$2:$B$130, MONTH(IMEX_VN!$A$2:$A$130)=MONTH($A172), YEAR(IMEX_VN!$A$2:$A$130)=YEAR($A172)),
    1
  ),
""""))"),1.19999999999999)</f>
        <v>1.19999999999999</v>
      </c>
      <c r="L172" s="6">
        <v>90</v>
      </c>
      <c r="M172" s="7">
        <v>55.9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8">
        <v>43205</v>
      </c>
      <c r="B173" s="9">
        <v>22771</v>
      </c>
      <c r="C173" s="2">
        <v>0.1</v>
      </c>
      <c r="D173" s="2">
        <f ca="1">IFERROR(__xludf.DUMMYFUNCTION("IF($A173="""","""", IFERROR(
  INDEX(
    FILTER(CPI_US!$D$2:$D$130, MONTH(CPI_US!$A$2:$A$130)=MONTH($A173), YEAR(CPI_US!$A$2:$A$130)=YEAR($A173)),
    1
  ),
""""))"),2.4)</f>
        <v>2.4</v>
      </c>
      <c r="E173" s="2">
        <v>4.3920000000000003</v>
      </c>
      <c r="F173" s="2">
        <v>1.69</v>
      </c>
      <c r="G173" s="2">
        <v>1050</v>
      </c>
      <c r="H173" s="2">
        <v>2670.1</v>
      </c>
      <c r="I173" s="2">
        <v>5.0999999999999996</v>
      </c>
      <c r="J173" s="2">
        <v>53.9</v>
      </c>
      <c r="K173" s="2">
        <f ca="1">IFERROR(__xludf.DUMMYFUNCTION("IF($A173="""","""", IFERROR(
  INDEX(
    FILTER(IMEX_VN!$B$2:$B$130, MONTH(IMEX_VN!$A$2:$A$130)=MONTH($A173), YEAR(IMEX_VN!$A$2:$A$130)=YEAR($A173)),
    1
  ),
""""))"),1.19999999999999)</f>
        <v>1.19999999999999</v>
      </c>
      <c r="L173" s="6">
        <v>90</v>
      </c>
      <c r="M173" s="7">
        <v>55.9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8">
        <v>43212</v>
      </c>
      <c r="B174" s="9">
        <v>22763</v>
      </c>
      <c r="C174" s="2">
        <v>0.1</v>
      </c>
      <c r="D174" s="2">
        <f ca="1">IFERROR(__xludf.DUMMYFUNCTION("IF($A174="""","""", IFERROR(
  INDEX(
    FILTER(CPI_US!$D$2:$D$130, MONTH(CPI_US!$A$2:$A$130)=MONTH($A174), YEAR(CPI_US!$A$2:$A$130)=YEAR($A174)),
    1
  ),
""""))"),2.4)</f>
        <v>2.4</v>
      </c>
      <c r="E174" s="2">
        <v>4.6820000000000004</v>
      </c>
      <c r="F174" s="2">
        <v>1.7</v>
      </c>
      <c r="G174" s="2">
        <v>1026</v>
      </c>
      <c r="H174" s="2">
        <v>2669.9</v>
      </c>
      <c r="I174" s="2">
        <v>5.0999999999999996</v>
      </c>
      <c r="J174" s="2">
        <v>53.9</v>
      </c>
      <c r="K174" s="2">
        <f ca="1">IFERROR(__xludf.DUMMYFUNCTION("IF($A174="""","""", IFERROR(
  INDEX(
    FILTER(IMEX_VN!$B$2:$B$130, MONTH(IMEX_VN!$A$2:$A$130)=MONTH($A174), YEAR(IMEX_VN!$A$2:$A$130)=YEAR($A174)),
    1
  ),
""""))"),1.19999999999999)</f>
        <v>1.19999999999999</v>
      </c>
      <c r="L174" s="6">
        <v>92</v>
      </c>
      <c r="M174" s="7">
        <v>55.9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8">
        <v>43219</v>
      </c>
      <c r="B175" s="9">
        <v>22767</v>
      </c>
      <c r="C175" s="2">
        <v>0.1</v>
      </c>
      <c r="D175" s="2">
        <f ca="1">IFERROR(__xludf.DUMMYFUNCTION("IF($A175="""","""", IFERROR(
  INDEX(
    FILTER(CPI_US!$D$2:$D$130, MONTH(CPI_US!$A$2:$A$130)=MONTH($A175), YEAR(CPI_US!$A$2:$A$130)=YEAR($A175)),
    1
  ),
""""))"),2.4)</f>
        <v>2.4</v>
      </c>
      <c r="E175" s="2">
        <v>4.5789999999999997</v>
      </c>
      <c r="F175" s="2">
        <v>1.7</v>
      </c>
      <c r="G175" s="2">
        <v>1044</v>
      </c>
      <c r="H175" s="2">
        <v>2663.4</v>
      </c>
      <c r="I175" s="2">
        <v>5.0999999999999996</v>
      </c>
      <c r="J175" s="2">
        <v>53.9</v>
      </c>
      <c r="K175" s="2">
        <f ca="1">IFERROR(__xludf.DUMMYFUNCTION("IF($A175="""","""", IFERROR(
  INDEX(
    FILTER(IMEX_VN!$B$2:$B$130, MONTH(IMEX_VN!$A$2:$A$130)=MONTH($A175), YEAR(IMEX_VN!$A$2:$A$130)=YEAR($A175)),
    1
  ),
""""))"),1.19999999999999)</f>
        <v>1.19999999999999</v>
      </c>
      <c r="L175" s="6">
        <v>93</v>
      </c>
      <c r="M175" s="7">
        <v>55.9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8">
        <v>43226</v>
      </c>
      <c r="B176" s="9">
        <v>22769</v>
      </c>
      <c r="C176" s="2">
        <v>0.5</v>
      </c>
      <c r="D176" s="2">
        <f ca="1">IFERROR(__xludf.DUMMYFUNCTION("IF($A176="""","""", IFERROR(
  INDEX(
    FILTER(CPI_US!$D$2:$D$130, MONTH(CPI_US!$A$2:$A$130)=MONTH($A176), YEAR(CPI_US!$A$2:$A$130)=YEAR($A176)),
    1
  ),
""""))"),2.5)</f>
        <v>2.5</v>
      </c>
      <c r="E176" s="2">
        <v>4.5519999999999996</v>
      </c>
      <c r="F176" s="2">
        <v>1.7</v>
      </c>
      <c r="G176" s="2">
        <v>1040</v>
      </c>
      <c r="H176" s="2">
        <v>2727.7</v>
      </c>
      <c r="I176" s="2">
        <v>6.75</v>
      </c>
      <c r="J176" s="2">
        <v>53.9</v>
      </c>
      <c r="K176" s="2">
        <f ca="1">IFERROR(__xludf.DUMMYFUNCTION("IF($A176="""","""", IFERROR(
  INDEX(
    FILTER(IMEX_VN!$B$2:$B$130, MONTH(IMEX_VN!$A$2:$A$130)=MONTH($A176), YEAR(IMEX_VN!$A$2:$A$130)=YEAR($A176)),
    1
  ),
""""))"),-0.8)</f>
        <v>-0.8</v>
      </c>
      <c r="L176" s="6">
        <v>93</v>
      </c>
      <c r="M176" s="7">
        <v>56.3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8">
        <v>43233</v>
      </c>
      <c r="B177" s="9">
        <v>22785</v>
      </c>
      <c r="C177" s="2">
        <v>0.5</v>
      </c>
      <c r="D177" s="2">
        <f ca="1">IFERROR(__xludf.DUMMYFUNCTION("IF($A177="""","""", IFERROR(
  INDEX(
    FILTER(CPI_US!$D$2:$D$130, MONTH(CPI_US!$A$2:$A$130)=MONTH($A177), YEAR(CPI_US!$A$2:$A$130)=YEAR($A177)),
    1
  ),
""""))"),2.5)</f>
        <v>2.5</v>
      </c>
      <c r="E177" s="2">
        <v>4.5389999999999997</v>
      </c>
      <c r="F177" s="2">
        <v>1.7</v>
      </c>
      <c r="G177" s="2">
        <v>963</v>
      </c>
      <c r="H177" s="2">
        <v>2713</v>
      </c>
      <c r="I177" s="2">
        <v>6.75</v>
      </c>
      <c r="J177" s="2">
        <v>53.9</v>
      </c>
      <c r="K177" s="2">
        <f ca="1">IFERROR(__xludf.DUMMYFUNCTION("IF($A177="""","""", IFERROR(
  INDEX(
    FILTER(IMEX_VN!$B$2:$B$130, MONTH(IMEX_VN!$A$2:$A$130)=MONTH($A177), YEAR(IMEX_VN!$A$2:$A$130)=YEAR($A177)),
    1
  ),
""""))"),-0.8)</f>
        <v>-0.8</v>
      </c>
      <c r="L177" s="6">
        <v>94</v>
      </c>
      <c r="M177" s="7">
        <v>56.3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8">
        <v>43240</v>
      </c>
      <c r="B178" s="9">
        <v>22769</v>
      </c>
      <c r="C178" s="2">
        <v>0.5</v>
      </c>
      <c r="D178" s="2">
        <f ca="1">IFERROR(__xludf.DUMMYFUNCTION("IF($A178="""","""", IFERROR(
  INDEX(
    FILTER(CPI_US!$D$2:$D$130, MONTH(CPI_US!$A$2:$A$130)=MONTH($A178), YEAR(CPI_US!$A$2:$A$130)=YEAR($A178)),
    1
  ),
""""))"),2.5)</f>
        <v>2.5</v>
      </c>
      <c r="E178" s="2">
        <v>4.5910000000000002</v>
      </c>
      <c r="F178" s="2">
        <v>1.7</v>
      </c>
      <c r="G178" s="2">
        <v>992</v>
      </c>
      <c r="H178" s="2">
        <v>2721.3</v>
      </c>
      <c r="I178" s="2">
        <v>6.75</v>
      </c>
      <c r="J178" s="2">
        <v>53.9</v>
      </c>
      <c r="K178" s="2">
        <f ca="1">IFERROR(__xludf.DUMMYFUNCTION("IF($A178="""","""", IFERROR(
  INDEX(
    FILTER(IMEX_VN!$B$2:$B$130, MONTH(IMEX_VN!$A$2:$A$130)=MONTH($A178), YEAR(IMEX_VN!$A$2:$A$130)=YEAR($A178)),
    1
  ),
""""))"),-0.8)</f>
        <v>-0.8</v>
      </c>
      <c r="L178" s="6">
        <v>94</v>
      </c>
      <c r="M178" s="7">
        <v>56.3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8">
        <v>43247</v>
      </c>
      <c r="B179" s="9">
        <v>22796</v>
      </c>
      <c r="C179" s="2">
        <v>0.5</v>
      </c>
      <c r="D179" s="2">
        <f ca="1">IFERROR(__xludf.DUMMYFUNCTION("IF($A179="""","""", IFERROR(
  INDEX(
    FILTER(CPI_US!$D$2:$D$130, MONTH(CPI_US!$A$2:$A$130)=MONTH($A179), YEAR(CPI_US!$A$2:$A$130)=YEAR($A179)),
    1
  ),
""""))"),2.5)</f>
        <v>2.5</v>
      </c>
      <c r="E179" s="2">
        <v>4.6639999999999997</v>
      </c>
      <c r="F179" s="2">
        <v>1.7</v>
      </c>
      <c r="G179" s="2">
        <v>1039</v>
      </c>
      <c r="H179" s="2">
        <v>2734.6</v>
      </c>
      <c r="I179" s="2">
        <v>6.75</v>
      </c>
      <c r="J179" s="2">
        <v>53.9</v>
      </c>
      <c r="K179" s="2">
        <f ca="1">IFERROR(__xludf.DUMMYFUNCTION("IF($A179="""","""", IFERROR(
  INDEX(
    FILTER(IMEX_VN!$B$2:$B$130, MONTH(IMEX_VN!$A$2:$A$130)=MONTH($A179), YEAR(IMEX_VN!$A$2:$A$130)=YEAR($A179)),
    1
  ),
""""))"),-0.8)</f>
        <v>-0.8</v>
      </c>
      <c r="L179" s="6">
        <v>94</v>
      </c>
      <c r="M179" s="7">
        <v>56.3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8">
        <v>43254</v>
      </c>
      <c r="B180" s="9">
        <v>22790</v>
      </c>
      <c r="C180" s="2">
        <v>0.6</v>
      </c>
      <c r="D180" s="2">
        <f ca="1">IFERROR(__xludf.DUMMYFUNCTION("IF($A180="""","""", IFERROR(
  INDEX(
    FILTER(CPI_US!$D$2:$D$130, MONTH(CPI_US!$A$2:$A$130)=MONTH($A180), YEAR(CPI_US!$A$2:$A$130)=YEAR($A180)),
    1
  ),
""""))"),2.8)</f>
        <v>2.8</v>
      </c>
      <c r="E180" s="2">
        <v>4.6859999999999999</v>
      </c>
      <c r="F180" s="2">
        <v>1.7</v>
      </c>
      <c r="G180" s="2">
        <v>1016</v>
      </c>
      <c r="H180" s="2">
        <v>2779</v>
      </c>
      <c r="I180" s="2">
        <v>8.3699999999999992</v>
      </c>
      <c r="J180" s="2">
        <v>53.9</v>
      </c>
      <c r="K180" s="2">
        <f ca="1">IFERROR(__xludf.DUMMYFUNCTION("IF($A180="""","""", IFERROR(
  INDEX(
    FILTER(IMEX_VN!$B$2:$B$130, MONTH(IMEX_VN!$A$2:$A$130)=MONTH($A180), YEAR(IMEX_VN!$A$2:$A$130)=YEAR($A180)),
    1
  ),
""""))"),0.8)</f>
        <v>0.8</v>
      </c>
      <c r="L180" s="6">
        <v>94</v>
      </c>
      <c r="M180" s="7">
        <v>57.4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8">
        <v>43261</v>
      </c>
      <c r="B181" s="9">
        <v>22815</v>
      </c>
      <c r="C181" s="2">
        <v>0.6</v>
      </c>
      <c r="D181" s="2">
        <f ca="1">IFERROR(__xludf.DUMMYFUNCTION("IF($A181="""","""", IFERROR(
  INDEX(
    FILTER(CPI_US!$D$2:$D$130, MONTH(CPI_US!$A$2:$A$130)=MONTH($A181), YEAR(CPI_US!$A$2:$A$130)=YEAR($A181)),
    1
  ),
""""))"),2.8)</f>
        <v>2.8</v>
      </c>
      <c r="E181" s="2">
        <v>4.7389999999999999</v>
      </c>
      <c r="F181" s="2">
        <v>1.7</v>
      </c>
      <c r="G181" s="2">
        <v>983</v>
      </c>
      <c r="H181" s="2">
        <v>2779.7</v>
      </c>
      <c r="I181" s="2">
        <v>8.3699999999999992</v>
      </c>
      <c r="J181" s="2">
        <v>53.9</v>
      </c>
      <c r="K181" s="2">
        <f ca="1">IFERROR(__xludf.DUMMYFUNCTION("IF($A181="""","""", IFERROR(
  INDEX(
    FILTER(IMEX_VN!$B$2:$B$130, MONTH(IMEX_VN!$A$2:$A$130)=MONTH($A181), YEAR(IMEX_VN!$A$2:$A$130)=YEAR($A181)),
    1
  ),
""""))"),0.8)</f>
        <v>0.8</v>
      </c>
      <c r="L181" s="6">
        <v>95</v>
      </c>
      <c r="M181" s="7">
        <v>57.4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8">
        <v>43268</v>
      </c>
      <c r="B182" s="9">
        <v>22891</v>
      </c>
      <c r="C182" s="2">
        <v>0.6</v>
      </c>
      <c r="D182" s="2">
        <f ca="1">IFERROR(__xludf.DUMMYFUNCTION("IF($A182="""","""", IFERROR(
  INDEX(
    FILTER(CPI_US!$D$2:$D$130, MONTH(CPI_US!$A$2:$A$130)=MONTH($A182), YEAR(CPI_US!$A$2:$A$130)=YEAR($A182)),
    1
  ),
""""))"),2.8)</f>
        <v>2.8</v>
      </c>
      <c r="E182" s="2">
        <v>4.7290000000000001</v>
      </c>
      <c r="F182" s="2">
        <v>1.9</v>
      </c>
      <c r="G182" s="2">
        <v>960</v>
      </c>
      <c r="H182" s="2">
        <v>2754.9</v>
      </c>
      <c r="I182" s="2">
        <v>8.3699999999999992</v>
      </c>
      <c r="J182" s="2">
        <v>53.9</v>
      </c>
      <c r="K182" s="2">
        <f ca="1">IFERROR(__xludf.DUMMYFUNCTION("IF($A182="""","""", IFERROR(
  INDEX(
    FILTER(IMEX_VN!$B$2:$B$130, MONTH(IMEX_VN!$A$2:$A$130)=MONTH($A182), YEAR(IMEX_VN!$A$2:$A$130)=YEAR($A182)),
    1
  ),
""""))"),0.8)</f>
        <v>0.8</v>
      </c>
      <c r="L182" s="6">
        <v>95</v>
      </c>
      <c r="M182" s="7">
        <v>57.4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8">
        <v>43275</v>
      </c>
      <c r="B183" s="9">
        <v>22956</v>
      </c>
      <c r="C183" s="2">
        <v>0.6</v>
      </c>
      <c r="D183" s="2">
        <f ca="1">IFERROR(__xludf.DUMMYFUNCTION("IF($A183="""","""", IFERROR(
  INDEX(
    FILTER(CPI_US!$D$2:$D$130, MONTH(CPI_US!$A$2:$A$130)=MONTH($A183), YEAR(CPI_US!$A$2:$A$130)=YEAR($A183)),
    1
  ),
""""))"),2.8)</f>
        <v>2.8</v>
      </c>
      <c r="E183" s="2">
        <v>4.7430000000000003</v>
      </c>
      <c r="F183" s="2">
        <v>1.92</v>
      </c>
      <c r="G183" s="2">
        <v>917</v>
      </c>
      <c r="H183" s="2">
        <v>2718.4</v>
      </c>
      <c r="I183" s="2">
        <v>8.3699999999999992</v>
      </c>
      <c r="J183" s="2">
        <v>53.9</v>
      </c>
      <c r="K183" s="2">
        <f ca="1">IFERROR(__xludf.DUMMYFUNCTION("IF($A183="""","""", IFERROR(
  INDEX(
    FILTER(IMEX_VN!$B$2:$B$130, MONTH(IMEX_VN!$A$2:$A$130)=MONTH($A183), YEAR(IMEX_VN!$A$2:$A$130)=YEAR($A183)),
    1
  ),
""""))"),0.8)</f>
        <v>0.8</v>
      </c>
      <c r="L183" s="6">
        <v>95</v>
      </c>
      <c r="M183" s="7">
        <v>57.4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8">
        <v>43282</v>
      </c>
      <c r="B184" s="9">
        <v>23035</v>
      </c>
      <c r="C184" s="2">
        <v>-0.1</v>
      </c>
      <c r="D184" s="2">
        <f ca="1">IFERROR(__xludf.DUMMYFUNCTION("IF($A184="""","""", IFERROR(
  INDEX(
    FILTER(CPI_US!$D$2:$D$130, MONTH(CPI_US!$A$2:$A$130)=MONTH($A184), YEAR(CPI_US!$A$2:$A$130)=YEAR($A184)),
    1
  ),
""""))"),2.9)</f>
        <v>2.9</v>
      </c>
      <c r="E184" s="2">
        <v>4.8499999999999996</v>
      </c>
      <c r="F184" s="2">
        <v>1.91</v>
      </c>
      <c r="G184" s="2">
        <v>909</v>
      </c>
      <c r="H184" s="2">
        <v>2759.8</v>
      </c>
      <c r="I184" s="2">
        <v>9.85</v>
      </c>
      <c r="J184" s="2">
        <v>54.5</v>
      </c>
      <c r="K184" s="2">
        <f ca="1">IFERROR(__xludf.DUMMYFUNCTION("IF($A184="""","""", IFERROR(
  INDEX(
    FILTER(IMEX_VN!$B$2:$B$130, MONTH(IMEX_VN!$A$2:$A$130)=MONTH($A184), YEAR(IMEX_VN!$A$2:$A$130)=YEAR($A184)),
    1
  ),
""""))"),-0.699999999999999)</f>
        <v>-0.69999999999999896</v>
      </c>
      <c r="L184" s="6">
        <v>94</v>
      </c>
      <c r="M184" s="7">
        <v>57.4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8">
        <v>43289</v>
      </c>
      <c r="B185" s="9">
        <v>23050</v>
      </c>
      <c r="C185" s="2">
        <v>-0.1</v>
      </c>
      <c r="D185" s="2">
        <f ca="1">IFERROR(__xludf.DUMMYFUNCTION("IF($A185="""","""", IFERROR(
  INDEX(
    FILTER(CPI_US!$D$2:$D$130, MONTH(CPI_US!$A$2:$A$130)=MONTH($A185), YEAR(CPI_US!$A$2:$A$130)=YEAR($A185)),
    1
  ),
""""))"),2.9)</f>
        <v>2.9</v>
      </c>
      <c r="E185" s="2">
        <v>4.8390000000000004</v>
      </c>
      <c r="F185" s="2">
        <v>1.91</v>
      </c>
      <c r="G185" s="2">
        <v>933</v>
      </c>
      <c r="H185" s="2">
        <v>2801.3</v>
      </c>
      <c r="I185" s="2">
        <v>9.85</v>
      </c>
      <c r="J185" s="2">
        <v>54.5</v>
      </c>
      <c r="K185" s="2">
        <f ca="1">IFERROR(__xludf.DUMMYFUNCTION("IF($A185="""","""", IFERROR(
  INDEX(
    FILTER(IMEX_VN!$B$2:$B$130, MONTH(IMEX_VN!$A$2:$A$130)=MONTH($A185), YEAR(IMEX_VN!$A$2:$A$130)=YEAR($A185)),
    1
  ),
""""))"),-0.699999999999999)</f>
        <v>-0.69999999999999896</v>
      </c>
      <c r="L185" s="6">
        <v>95</v>
      </c>
      <c r="M185" s="7">
        <v>57.4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8">
        <v>43296</v>
      </c>
      <c r="B186" s="9">
        <v>23053</v>
      </c>
      <c r="C186" s="2">
        <v>-0.1</v>
      </c>
      <c r="D186" s="2">
        <f ca="1">IFERROR(__xludf.DUMMYFUNCTION("IF($A186="""","""", IFERROR(
  INDEX(
    FILTER(CPI_US!$D$2:$D$130, MONTH(CPI_US!$A$2:$A$130)=MONTH($A186), YEAR(CPI_US!$A$2:$A$130)=YEAR($A186)),
    1
  ),
""""))"),2.9)</f>
        <v>2.9</v>
      </c>
      <c r="E186" s="2">
        <v>4.8540000000000001</v>
      </c>
      <c r="F186" s="2">
        <v>1.91</v>
      </c>
      <c r="G186" s="2">
        <v>935</v>
      </c>
      <c r="H186" s="2">
        <v>2801.8</v>
      </c>
      <c r="I186" s="2">
        <v>9.85</v>
      </c>
      <c r="J186" s="2">
        <v>54.5</v>
      </c>
      <c r="K186" s="2">
        <f ca="1">IFERROR(__xludf.DUMMYFUNCTION("IF($A186="""","""", IFERROR(
  INDEX(
    FILTER(IMEX_VN!$B$2:$B$130, MONTH(IMEX_VN!$A$2:$A$130)=MONTH($A186), YEAR(IMEX_VN!$A$2:$A$130)=YEAR($A186)),
    1
  ),
""""))"),-0.699999999999999)</f>
        <v>-0.69999999999999896</v>
      </c>
      <c r="L186" s="6">
        <v>94</v>
      </c>
      <c r="M186" s="7">
        <v>57.4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8">
        <v>43303</v>
      </c>
      <c r="B187" s="9">
        <v>23230</v>
      </c>
      <c r="C187" s="2">
        <v>-0.1</v>
      </c>
      <c r="D187" s="2">
        <f ca="1">IFERROR(__xludf.DUMMYFUNCTION("IF($A187="""","""", IFERROR(
  INDEX(
    FILTER(CPI_US!$D$2:$D$130, MONTH(CPI_US!$A$2:$A$130)=MONTH($A187), YEAR(CPI_US!$A$2:$A$130)=YEAR($A187)),
    1
  ),
""""))"),2.9)</f>
        <v>2.9</v>
      </c>
      <c r="E187" s="2">
        <v>4.8860000000000001</v>
      </c>
      <c r="F187" s="2">
        <v>1.91</v>
      </c>
      <c r="G187" s="2">
        <v>959</v>
      </c>
      <c r="H187" s="2">
        <v>2818.8</v>
      </c>
      <c r="I187" s="2">
        <v>9.85</v>
      </c>
      <c r="J187" s="2">
        <v>54.5</v>
      </c>
      <c r="K187" s="2">
        <f ca="1">IFERROR(__xludf.DUMMYFUNCTION("IF($A187="""","""", IFERROR(
  INDEX(
    FILTER(IMEX_VN!$B$2:$B$130, MONTH(IMEX_VN!$A$2:$A$130)=MONTH($A187), YEAR(IMEX_VN!$A$2:$A$130)=YEAR($A187)),
    1
  ),
""""))"),-0.699999999999999)</f>
        <v>-0.69999999999999896</v>
      </c>
      <c r="L187" s="6">
        <v>95</v>
      </c>
      <c r="M187" s="7">
        <v>57.4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8">
        <v>43310</v>
      </c>
      <c r="B188" s="9">
        <v>23304</v>
      </c>
      <c r="C188" s="2">
        <v>-0.1</v>
      </c>
      <c r="D188" s="2">
        <f ca="1">IFERROR(__xludf.DUMMYFUNCTION("IF($A188="""","""", IFERROR(
  INDEX(
    FILTER(CPI_US!$D$2:$D$130, MONTH(CPI_US!$A$2:$A$130)=MONTH($A188), YEAR(CPI_US!$A$2:$A$130)=YEAR($A188)),
    1
  ),
""""))"),2.9)</f>
        <v>2.9</v>
      </c>
      <c r="E188" s="2">
        <v>5.0369999999999999</v>
      </c>
      <c r="F188" s="2">
        <v>1.91</v>
      </c>
      <c r="G188" s="2">
        <v>968</v>
      </c>
      <c r="H188" s="2">
        <v>2840.3</v>
      </c>
      <c r="I188" s="2">
        <v>9.85</v>
      </c>
      <c r="J188" s="2">
        <v>54.5</v>
      </c>
      <c r="K188" s="2">
        <f ca="1">IFERROR(__xludf.DUMMYFUNCTION("IF($A188="""","""", IFERROR(
  INDEX(
    FILTER(IMEX_VN!$B$2:$B$130, MONTH(IMEX_VN!$A$2:$A$130)=MONTH($A188), YEAR(IMEX_VN!$A$2:$A$130)=YEAR($A188)),
    1
  ),
""""))"),-0.699999999999999)</f>
        <v>-0.69999999999999896</v>
      </c>
      <c r="L188" s="6">
        <v>95</v>
      </c>
      <c r="M188" s="7">
        <v>57.4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8">
        <v>43317</v>
      </c>
      <c r="B189" s="9">
        <v>23275</v>
      </c>
      <c r="C189" s="2">
        <v>0.5</v>
      </c>
      <c r="D189" s="2">
        <f ca="1">IFERROR(__xludf.DUMMYFUNCTION("IF($A189="""","""", IFERROR(
  INDEX(
    FILTER(CPI_US!$D$2:$D$130, MONTH(CPI_US!$A$2:$A$130)=MONTH($A189), YEAR(CPI_US!$A$2:$A$130)=YEAR($A189)),
    1
  ),
""""))"),2.9)</f>
        <v>2.9</v>
      </c>
      <c r="E189" s="2">
        <v>4.9690000000000003</v>
      </c>
      <c r="F189" s="2">
        <v>1.91</v>
      </c>
      <c r="G189" s="2">
        <v>968</v>
      </c>
      <c r="H189" s="2">
        <v>2833.3</v>
      </c>
      <c r="I189" s="2">
        <v>11.25</v>
      </c>
      <c r="J189" s="2">
        <v>54.5</v>
      </c>
      <c r="K189" s="2">
        <f ca="1">IFERROR(__xludf.DUMMYFUNCTION("IF($A189="""","""", IFERROR(
  INDEX(
    FILTER(IMEX_VN!$B$2:$B$130, MONTH(IMEX_VN!$A$2:$A$130)=MONTH($A189), YEAR(IMEX_VN!$A$2:$A$130)=YEAR($A189)),
    1
  ),
""""))"),2.19999999999999)</f>
        <v>2.19999999999999</v>
      </c>
      <c r="L189" s="6">
        <v>96</v>
      </c>
      <c r="M189" s="7">
        <v>56.9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8">
        <v>43324</v>
      </c>
      <c r="B190" s="9">
        <v>23293</v>
      </c>
      <c r="C190" s="2">
        <v>0.5</v>
      </c>
      <c r="D190" s="2">
        <f ca="1">IFERROR(__xludf.DUMMYFUNCTION("IF($A190="""","""", IFERROR(
  INDEX(
    FILTER(CPI_US!$D$2:$D$130, MONTH(CPI_US!$A$2:$A$130)=MONTH($A190), YEAR(CPI_US!$A$2:$A$130)=YEAR($A190)),
    1
  ),
""""))"),2.9)</f>
        <v>2.9</v>
      </c>
      <c r="E190" s="2">
        <v>5.0780000000000003</v>
      </c>
      <c r="F190" s="2">
        <v>1.91</v>
      </c>
      <c r="G190" s="2">
        <v>987</v>
      </c>
      <c r="H190" s="2">
        <v>2850.1</v>
      </c>
      <c r="I190" s="2">
        <v>11.25</v>
      </c>
      <c r="J190" s="2">
        <v>54.5</v>
      </c>
      <c r="K190" s="2">
        <f ca="1">IFERROR(__xludf.DUMMYFUNCTION("IF($A190="""","""", IFERROR(
  INDEX(
    FILTER(IMEX_VN!$B$2:$B$130, MONTH(IMEX_VN!$A$2:$A$130)=MONTH($A190), YEAR(IMEX_VN!$A$2:$A$130)=YEAR($A190)),
    1
  ),
""""))"),2.19999999999999)</f>
        <v>2.19999999999999</v>
      </c>
      <c r="L190" s="6">
        <v>96</v>
      </c>
      <c r="M190" s="7">
        <v>56.9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8">
        <v>43331</v>
      </c>
      <c r="B191" s="9">
        <v>23300</v>
      </c>
      <c r="C191" s="2">
        <v>0.5</v>
      </c>
      <c r="D191" s="2">
        <f ca="1">IFERROR(__xludf.DUMMYFUNCTION("IF($A191="""","""", IFERROR(
  INDEX(
    FILTER(CPI_US!$D$2:$D$130, MONTH(CPI_US!$A$2:$A$130)=MONTH($A191), YEAR(CPI_US!$A$2:$A$130)=YEAR($A191)),
    1
  ),
""""))"),2.9)</f>
        <v>2.9</v>
      </c>
      <c r="E191" s="2">
        <v>5.1630000000000003</v>
      </c>
      <c r="F191" s="2">
        <v>1.92</v>
      </c>
      <c r="G191" s="2">
        <v>989</v>
      </c>
      <c r="H191" s="2">
        <v>2874.7</v>
      </c>
      <c r="I191" s="2">
        <v>11.25</v>
      </c>
      <c r="J191" s="2">
        <v>54.5</v>
      </c>
      <c r="K191" s="2">
        <f ca="1">IFERROR(__xludf.DUMMYFUNCTION("IF($A191="""","""", IFERROR(
  INDEX(
    FILTER(IMEX_VN!$B$2:$B$130, MONTH(IMEX_VN!$A$2:$A$130)=MONTH($A191), YEAR(IMEX_VN!$A$2:$A$130)=YEAR($A191)),
    1
  ),
""""))"),2.19999999999999)</f>
        <v>2.19999999999999</v>
      </c>
      <c r="L191" s="6">
        <v>95</v>
      </c>
      <c r="M191" s="7">
        <v>56.9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8">
        <v>43338</v>
      </c>
      <c r="B192" s="9">
        <v>23303</v>
      </c>
      <c r="C192" s="2">
        <v>0.5</v>
      </c>
      <c r="D192" s="2">
        <f ca="1">IFERROR(__xludf.DUMMYFUNCTION("IF($A192="""","""", IFERROR(
  INDEX(
    FILTER(CPI_US!$D$2:$D$130, MONTH(CPI_US!$A$2:$A$130)=MONTH($A192), YEAR(CPI_US!$A$2:$A$130)=YEAR($A192)),
    1
  ),
""""))"),2.9)</f>
        <v>2.9</v>
      </c>
      <c r="E192" s="2">
        <v>5.1719999999999997</v>
      </c>
      <c r="F192" s="2">
        <v>1.92</v>
      </c>
      <c r="G192" s="2">
        <v>968</v>
      </c>
      <c r="H192" s="2">
        <v>2901.5</v>
      </c>
      <c r="I192" s="2">
        <v>11.25</v>
      </c>
      <c r="J192" s="2">
        <v>54.5</v>
      </c>
      <c r="K192" s="2">
        <f ca="1">IFERROR(__xludf.DUMMYFUNCTION("IF($A192="""","""", IFERROR(
  INDEX(
    FILTER(IMEX_VN!$B$2:$B$130, MONTH(IMEX_VN!$A$2:$A$130)=MONTH($A192), YEAR(IMEX_VN!$A$2:$A$130)=YEAR($A192)),
    1
  ),
""""))"),2.19999999999999)</f>
        <v>2.19999999999999</v>
      </c>
      <c r="L192" s="6">
        <v>95</v>
      </c>
      <c r="M192" s="7">
        <v>56.9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8">
        <v>43345</v>
      </c>
      <c r="B193" s="9">
        <v>23302</v>
      </c>
      <c r="C193" s="2">
        <v>0.6</v>
      </c>
      <c r="D193" s="2">
        <f ca="1">IFERROR(__xludf.DUMMYFUNCTION("IF($A193="""","""", IFERROR(
  INDEX(
    FILTER(CPI_US!$D$2:$D$130, MONTH(CPI_US!$A$2:$A$130)=MONTH($A193), YEAR(CPI_US!$A$2:$A$130)=YEAR($A193)),
    1
  ),
""""))"),2.7)</f>
        <v>2.7</v>
      </c>
      <c r="E193" s="2">
        <v>5.218</v>
      </c>
      <c r="F193" s="2">
        <v>1.91</v>
      </c>
      <c r="G193" s="2">
        <v>991</v>
      </c>
      <c r="H193" s="2">
        <v>2871.7</v>
      </c>
      <c r="I193" s="2">
        <v>13.25</v>
      </c>
      <c r="J193" s="2">
        <v>54.5</v>
      </c>
      <c r="K193" s="2">
        <f ca="1">IFERROR(__xludf.DUMMYFUNCTION("IF($A193="""","""", IFERROR(
  INDEX(
    FILTER(IMEX_VN!$B$2:$B$130, MONTH(IMEX_VN!$A$2:$A$130)=MONTH($A193), YEAR(IMEX_VN!$A$2:$A$130)=YEAR($A193)),
    1
  ),
""""))"),1.6)</f>
        <v>1.6</v>
      </c>
      <c r="L193" s="6">
        <v>95</v>
      </c>
      <c r="M193" s="7">
        <v>56.6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8">
        <v>43352</v>
      </c>
      <c r="B194" s="9">
        <v>23247</v>
      </c>
      <c r="C194" s="2">
        <v>0.6</v>
      </c>
      <c r="D194" s="2">
        <f ca="1">IFERROR(__xludf.DUMMYFUNCTION("IF($A194="""","""", IFERROR(
  INDEX(
    FILTER(CPI_US!$D$2:$D$130, MONTH(CPI_US!$A$2:$A$130)=MONTH($A194), YEAR(CPI_US!$A$2:$A$130)=YEAR($A194)),
    1
  ),
""""))"),2.7)</f>
        <v>2.7</v>
      </c>
      <c r="E194" s="2">
        <v>5.0670000000000002</v>
      </c>
      <c r="F194" s="2">
        <v>1.92</v>
      </c>
      <c r="G194" s="2">
        <v>1002</v>
      </c>
      <c r="H194" s="2">
        <v>2905</v>
      </c>
      <c r="I194" s="2">
        <v>13.25</v>
      </c>
      <c r="J194" s="2">
        <v>54.5</v>
      </c>
      <c r="K194" s="2">
        <f ca="1">IFERROR(__xludf.DUMMYFUNCTION("IF($A194="""","""", IFERROR(
  INDEX(
    FILTER(IMEX_VN!$B$2:$B$130, MONTH(IMEX_VN!$A$2:$A$130)=MONTH($A194), YEAR(IMEX_VN!$A$2:$A$130)=YEAR($A194)),
    1
  ),
""""))"),1.6)</f>
        <v>1.6</v>
      </c>
      <c r="L194" s="6">
        <v>95</v>
      </c>
      <c r="M194" s="7">
        <v>56.6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8">
        <v>43359</v>
      </c>
      <c r="B195" s="9">
        <v>23332</v>
      </c>
      <c r="C195" s="2">
        <v>0.6</v>
      </c>
      <c r="D195" s="2">
        <f ca="1">IFERROR(__xludf.DUMMYFUNCTION("IF($A195="""","""", IFERROR(
  INDEX(
    FILTER(CPI_US!$D$2:$D$130, MONTH(CPI_US!$A$2:$A$130)=MONTH($A195), YEAR(CPI_US!$A$2:$A$130)=YEAR($A195)),
    1
  ),
""""))"),2.7)</f>
        <v>2.7</v>
      </c>
      <c r="E195" s="2">
        <v>5.1029999999999998</v>
      </c>
      <c r="F195" s="2">
        <v>1.92</v>
      </c>
      <c r="G195" s="2">
        <v>1017</v>
      </c>
      <c r="H195" s="2">
        <v>2929.7</v>
      </c>
      <c r="I195" s="2">
        <v>13.25</v>
      </c>
      <c r="J195" s="2">
        <v>54.5</v>
      </c>
      <c r="K195" s="2">
        <f ca="1">IFERROR(__xludf.DUMMYFUNCTION("IF($A195="""","""", IFERROR(
  INDEX(
    FILTER(IMEX_VN!$B$2:$B$130, MONTH(IMEX_VN!$A$2:$A$130)=MONTH($A195), YEAR(IMEX_VN!$A$2:$A$130)=YEAR($A195)),
    1
  ),
""""))"),1.6)</f>
        <v>1.6</v>
      </c>
      <c r="L195" s="6">
        <v>94</v>
      </c>
      <c r="M195" s="7">
        <v>56.6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8">
        <v>43366</v>
      </c>
      <c r="B196" s="9">
        <v>23325</v>
      </c>
      <c r="C196" s="2">
        <v>0.6</v>
      </c>
      <c r="D196" s="2">
        <f ca="1">IFERROR(__xludf.DUMMYFUNCTION("IF($A196="""","""", IFERROR(
  INDEX(
    FILTER(CPI_US!$D$2:$D$130, MONTH(CPI_US!$A$2:$A$130)=MONTH($A196), YEAR(CPI_US!$A$2:$A$130)=YEAR($A196)),
    1
  ),
""""))"),2.7)</f>
        <v>2.7</v>
      </c>
      <c r="E196" s="2">
        <v>5.0279999999999996</v>
      </c>
      <c r="F196" s="2">
        <v>1.92</v>
      </c>
      <c r="G196" s="2">
        <v>1008</v>
      </c>
      <c r="H196" s="2">
        <v>2914</v>
      </c>
      <c r="I196" s="2">
        <v>13.25</v>
      </c>
      <c r="J196" s="2">
        <v>54.5</v>
      </c>
      <c r="K196" s="2">
        <f ca="1">IFERROR(__xludf.DUMMYFUNCTION("IF($A196="""","""", IFERROR(
  INDEX(
    FILTER(IMEX_VN!$B$2:$B$130, MONTH(IMEX_VN!$A$2:$A$130)=MONTH($A196), YEAR(IMEX_VN!$A$2:$A$130)=YEAR($A196)),
    1
  ),
""""))"),1.6)</f>
        <v>1.6</v>
      </c>
      <c r="L196" s="6">
        <v>95</v>
      </c>
      <c r="M196" s="7">
        <v>56.6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8">
        <v>43373</v>
      </c>
      <c r="B197" s="9">
        <v>23330</v>
      </c>
      <c r="C197" s="2">
        <v>0.6</v>
      </c>
      <c r="D197" s="2">
        <f ca="1">IFERROR(__xludf.DUMMYFUNCTION("IF($A197="""","""", IFERROR(
  INDEX(
    FILTER(CPI_US!$D$2:$D$130, MONTH(CPI_US!$A$2:$A$130)=MONTH($A197), YEAR(CPI_US!$A$2:$A$130)=YEAR($A197)),
    1
  ),
""""))"),2.7)</f>
        <v>2.7</v>
      </c>
      <c r="E197" s="2">
        <v>5.0369999999999999</v>
      </c>
      <c r="F197" s="2">
        <v>2.1800000000000002</v>
      </c>
      <c r="G197" s="2">
        <v>970</v>
      </c>
      <c r="H197" s="2">
        <v>2885.6</v>
      </c>
      <c r="I197" s="2">
        <v>13.25</v>
      </c>
      <c r="J197" s="2">
        <v>54.5</v>
      </c>
      <c r="K197" s="2">
        <f ca="1">IFERROR(__xludf.DUMMYFUNCTION("IF($A197="""","""", IFERROR(
  INDEX(
    FILTER(IMEX_VN!$B$2:$B$130, MONTH(IMEX_VN!$A$2:$A$130)=MONTH($A197), YEAR(IMEX_VN!$A$2:$A$130)=YEAR($A197)),
    1
  ),
""""))"),1.6)</f>
        <v>1.6</v>
      </c>
      <c r="L197" s="6">
        <v>96</v>
      </c>
      <c r="M197" s="7">
        <v>56.6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8">
        <v>43380</v>
      </c>
      <c r="B198" s="9">
        <v>23343</v>
      </c>
      <c r="C198" s="2">
        <v>0.3</v>
      </c>
      <c r="D198" s="2">
        <f ca="1">IFERROR(__xludf.DUMMYFUNCTION("IF($A198="""","""", IFERROR(
  INDEX(
    FILTER(CPI_US!$D$2:$D$130, MONTH(CPI_US!$A$2:$A$130)=MONTH($A198), YEAR(CPI_US!$A$2:$A$130)=YEAR($A198)),
    1
  ),
""""))"),2.3)</f>
        <v>2.2999999999999998</v>
      </c>
      <c r="E198" s="2">
        <v>5.0730000000000004</v>
      </c>
      <c r="F198" s="2">
        <v>2.1800000000000002</v>
      </c>
      <c r="G198" s="2">
        <v>958</v>
      </c>
      <c r="H198" s="2">
        <v>2767.1</v>
      </c>
      <c r="I198" s="2">
        <v>15.1</v>
      </c>
      <c r="J198" s="2">
        <v>52.2</v>
      </c>
      <c r="K198" s="2">
        <f ca="1">IFERROR(__xludf.DUMMYFUNCTION("IF($A198="""","""", IFERROR(
  INDEX(
    FILTER(IMEX_VN!$B$2:$B$130, MONTH(IMEX_VN!$A$2:$A$130)=MONTH($A198), YEAR(IMEX_VN!$A$2:$A$130)=YEAR($A198)),
    1
  ),
""""))"),0.699999999999999)</f>
        <v>0.69999999999999896</v>
      </c>
      <c r="L198" s="6">
        <v>95</v>
      </c>
      <c r="M198" s="7">
        <v>54.8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8">
        <v>43387</v>
      </c>
      <c r="B199" s="9">
        <v>23351</v>
      </c>
      <c r="C199" s="2">
        <v>0.3</v>
      </c>
      <c r="D199" s="2">
        <f ca="1">IFERROR(__xludf.DUMMYFUNCTION("IF($A199="""","""", IFERROR(
  INDEX(
    FILTER(CPI_US!$D$2:$D$130, MONTH(CPI_US!$A$2:$A$130)=MONTH($A199), YEAR(CPI_US!$A$2:$A$130)=YEAR($A199)),
    1
  ),
""""))"),2.3)</f>
        <v>2.2999999999999998</v>
      </c>
      <c r="E199" s="2">
        <v>5.0940000000000003</v>
      </c>
      <c r="F199" s="2">
        <v>2.1800000000000002</v>
      </c>
      <c r="G199" s="2">
        <v>900</v>
      </c>
      <c r="H199" s="2">
        <v>2767.8</v>
      </c>
      <c r="I199" s="2">
        <v>15.1</v>
      </c>
      <c r="J199" s="2">
        <v>52.2</v>
      </c>
      <c r="K199" s="2">
        <f ca="1">IFERROR(__xludf.DUMMYFUNCTION("IF($A199="""","""", IFERROR(
  INDEX(
    FILTER(IMEX_VN!$B$2:$B$130, MONTH(IMEX_VN!$A$2:$A$130)=MONTH($A199), YEAR(IMEX_VN!$A$2:$A$130)=YEAR($A199)),
    1
  ),
""""))"),0.699999999999999)</f>
        <v>0.69999999999999896</v>
      </c>
      <c r="L199" s="6">
        <v>96</v>
      </c>
      <c r="M199" s="7">
        <v>54.8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8">
        <v>43394</v>
      </c>
      <c r="B200" s="9">
        <v>23355</v>
      </c>
      <c r="C200" s="2">
        <v>0.3</v>
      </c>
      <c r="D200" s="2">
        <f ca="1">IFERROR(__xludf.DUMMYFUNCTION("IF($A200="""","""", IFERROR(
  INDEX(
    FILTER(CPI_US!$D$2:$D$130, MONTH(CPI_US!$A$2:$A$130)=MONTH($A200), YEAR(CPI_US!$A$2:$A$130)=YEAR($A200)),
    1
  ),
""""))"),2.3)</f>
        <v>2.2999999999999998</v>
      </c>
      <c r="E200" s="2">
        <v>5.1580000000000004</v>
      </c>
      <c r="F200" s="2">
        <v>2.19</v>
      </c>
      <c r="G200" s="2">
        <v>924</v>
      </c>
      <c r="H200" s="2">
        <v>2658.7</v>
      </c>
      <c r="I200" s="2">
        <v>15.1</v>
      </c>
      <c r="J200" s="2">
        <v>52.2</v>
      </c>
      <c r="K200" s="2">
        <f ca="1">IFERROR(__xludf.DUMMYFUNCTION("IF($A200="""","""", IFERROR(
  INDEX(
    FILTER(IMEX_VN!$B$2:$B$130, MONTH(IMEX_VN!$A$2:$A$130)=MONTH($A200), YEAR(IMEX_VN!$A$2:$A$130)=YEAR($A200)),
    1
  ),
""""))"),0.699999999999999)</f>
        <v>0.69999999999999896</v>
      </c>
      <c r="L200" s="6">
        <v>96</v>
      </c>
      <c r="M200" s="7">
        <v>54.8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8">
        <v>43401</v>
      </c>
      <c r="B201" s="9">
        <v>23330</v>
      </c>
      <c r="C201" s="2">
        <v>0.3</v>
      </c>
      <c r="D201" s="2">
        <f ca="1">IFERROR(__xludf.DUMMYFUNCTION("IF($A201="""","""", IFERROR(
  INDEX(
    FILTER(CPI_US!$D$2:$D$130, MONTH(CPI_US!$A$2:$A$130)=MONTH($A201), YEAR(CPI_US!$A$2:$A$130)=YEAR($A201)),
    1
  ),
""""))"),2.3)</f>
        <v>2.2999999999999998</v>
      </c>
      <c r="E201" s="2">
        <v>5.1779999999999999</v>
      </c>
      <c r="F201" s="2">
        <v>2.2000000000000002</v>
      </c>
      <c r="G201" s="2">
        <v>914</v>
      </c>
      <c r="H201" s="2">
        <v>2723.1</v>
      </c>
      <c r="I201" s="2">
        <v>15.1</v>
      </c>
      <c r="J201" s="2">
        <v>52.2</v>
      </c>
      <c r="K201" s="2">
        <f ca="1">IFERROR(__xludf.DUMMYFUNCTION("IF($A201="""","""", IFERROR(
  INDEX(
    FILTER(IMEX_VN!$B$2:$B$130, MONTH(IMEX_VN!$A$2:$A$130)=MONTH($A201), YEAR(IMEX_VN!$A$2:$A$130)=YEAR($A201)),
    1
  ),
""""))"),0.699999999999999)</f>
        <v>0.69999999999999896</v>
      </c>
      <c r="L201" s="6">
        <v>97</v>
      </c>
      <c r="M201" s="7">
        <v>54.8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8">
        <v>43408</v>
      </c>
      <c r="B202" s="9">
        <v>23290</v>
      </c>
      <c r="C202" s="2">
        <v>-0.3</v>
      </c>
      <c r="D202" s="2">
        <f ca="1">IFERROR(__xludf.DUMMYFUNCTION("IF($A202="""","""", IFERROR(
  INDEX(
    FILTER(CPI_US!$D$2:$D$130, MONTH(CPI_US!$A$2:$A$130)=MONTH($A202), YEAR(CPI_US!$A$2:$A$130)=YEAR($A202)),
    1
  ),
""""))"),2.5)</f>
        <v>2.5</v>
      </c>
      <c r="E202" s="2">
        <v>5.1760000000000002</v>
      </c>
      <c r="F202" s="2">
        <v>2.19</v>
      </c>
      <c r="G202" s="2">
        <v>898</v>
      </c>
      <c r="H202" s="2">
        <v>2781</v>
      </c>
      <c r="I202" s="2">
        <v>16.5</v>
      </c>
      <c r="J202" s="2">
        <v>52.2</v>
      </c>
      <c r="K202" s="2">
        <f ca="1">IFERROR(__xludf.DUMMYFUNCTION("IF($A202="""","""", IFERROR(
  INDEX(
    FILTER(IMEX_VN!$B$2:$B$130, MONTH(IMEX_VN!$A$2:$A$130)=MONTH($A202), YEAR(IMEX_VN!$A$2:$A$130)=YEAR($A202)),
    1
  ),
""""))"),0.199999999999999)</f>
        <v>0.19999999999999901</v>
      </c>
      <c r="L202" s="6">
        <v>97</v>
      </c>
      <c r="M202" s="7">
        <v>54.7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8">
        <v>43415</v>
      </c>
      <c r="B203" s="9">
        <v>23306</v>
      </c>
      <c r="C203" s="2">
        <v>-0.3</v>
      </c>
      <c r="D203" s="2">
        <f ca="1">IFERROR(__xludf.DUMMYFUNCTION("IF($A203="""","""", IFERROR(
  INDEX(
    FILTER(CPI_US!$D$2:$D$130, MONTH(CPI_US!$A$2:$A$130)=MONTH($A203), YEAR(CPI_US!$A$2:$A$130)=YEAR($A203)),
    1
  ),
""""))"),2.5)</f>
        <v>2.5</v>
      </c>
      <c r="E203" s="2">
        <v>5.1550000000000002</v>
      </c>
      <c r="F203" s="2">
        <v>2.19</v>
      </c>
      <c r="G203" s="2">
        <v>917</v>
      </c>
      <c r="H203" s="2">
        <v>2736.3</v>
      </c>
      <c r="I203" s="2">
        <v>16.5</v>
      </c>
      <c r="J203" s="2">
        <v>52.2</v>
      </c>
      <c r="K203" s="2">
        <f ca="1">IFERROR(__xludf.DUMMYFUNCTION("IF($A203="""","""", IFERROR(
  INDEX(
    FILTER(IMEX_VN!$B$2:$B$130, MONTH(IMEX_VN!$A$2:$A$130)=MONTH($A203), YEAR(IMEX_VN!$A$2:$A$130)=YEAR($A203)),
    1
  ),
""""))"),0.199999999999999)</f>
        <v>0.19999999999999901</v>
      </c>
      <c r="L203" s="6">
        <v>96</v>
      </c>
      <c r="M203" s="7">
        <v>54.7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8">
        <v>43422</v>
      </c>
      <c r="B204" s="9">
        <v>23360</v>
      </c>
      <c r="C204" s="2">
        <v>-0.3</v>
      </c>
      <c r="D204" s="2">
        <f ca="1">IFERROR(__xludf.DUMMYFUNCTION("IF($A204="""","""", IFERROR(
  INDEX(
    FILTER(CPI_US!$D$2:$D$130, MONTH(CPI_US!$A$2:$A$130)=MONTH($A204), YEAR(CPI_US!$A$2:$A$130)=YEAR($A204)),
    1
  ),
""""))"),2.5)</f>
        <v>2.5</v>
      </c>
      <c r="E204" s="2">
        <v>5.1909999999999998</v>
      </c>
      <c r="F204" s="2">
        <v>2.2000000000000002</v>
      </c>
      <c r="G204" s="2">
        <v>926</v>
      </c>
      <c r="H204" s="2">
        <v>2632.6</v>
      </c>
      <c r="I204" s="2">
        <v>16.5</v>
      </c>
      <c r="J204" s="2">
        <v>52.2</v>
      </c>
      <c r="K204" s="2">
        <f ca="1">IFERROR(__xludf.DUMMYFUNCTION("IF($A204="""","""", IFERROR(
  INDEX(
    FILTER(IMEX_VN!$B$2:$B$130, MONTH(IMEX_VN!$A$2:$A$130)=MONTH($A204), YEAR(IMEX_VN!$A$2:$A$130)=YEAR($A204)),
    1
  ),
""""))"),0.199999999999999)</f>
        <v>0.19999999999999901</v>
      </c>
      <c r="L204" s="6">
        <v>97</v>
      </c>
      <c r="M204" s="7">
        <v>54.7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8">
        <v>43429</v>
      </c>
      <c r="B205" s="9">
        <v>23315</v>
      </c>
      <c r="C205" s="2">
        <v>-0.3</v>
      </c>
      <c r="D205" s="2">
        <f ca="1">IFERROR(__xludf.DUMMYFUNCTION("IF($A205="""","""", IFERROR(
  INDEX(
    FILTER(CPI_US!$D$2:$D$130, MONTH(CPI_US!$A$2:$A$130)=MONTH($A205), YEAR(CPI_US!$A$2:$A$130)=YEAR($A205)),
    1
  ),
""""))"),2.5)</f>
        <v>2.5</v>
      </c>
      <c r="E205" s="2">
        <v>5.1660000000000004</v>
      </c>
      <c r="F205" s="2">
        <v>2.2000000000000002</v>
      </c>
      <c r="G205" s="2">
        <v>958</v>
      </c>
      <c r="H205" s="2">
        <v>2760.2</v>
      </c>
      <c r="I205" s="2">
        <v>16.5</v>
      </c>
      <c r="J205" s="2">
        <v>52.2</v>
      </c>
      <c r="K205" s="2">
        <f ca="1">IFERROR(__xludf.DUMMYFUNCTION("IF($A205="""","""", IFERROR(
  INDEX(
    FILTER(IMEX_VN!$B$2:$B$130, MONTH(IMEX_VN!$A$2:$A$130)=MONTH($A205), YEAR(IMEX_VN!$A$2:$A$130)=YEAR($A205)),
    1
  ),
""""))"),0.199999999999999)</f>
        <v>0.19999999999999901</v>
      </c>
      <c r="L205" s="6">
        <v>97</v>
      </c>
      <c r="M205" s="7">
        <v>54.7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8">
        <v>43436</v>
      </c>
      <c r="B206" s="9">
        <v>23310</v>
      </c>
      <c r="C206" s="2">
        <f ca="1">IFERROR(__xludf.DUMMYFUNCTION("IF($A206="""","""", IFERROR(
  INDEX(
    FILTER(CPI_VN!$C$2:$C$82, MONTH(CPI_VN!$A$2:$A$82)=MONTH($A206), YEAR(CPI_VN!$A$2:$A$82)=YEAR($A206)),
    1
  ),
""""))"),2.98)</f>
        <v>2.98</v>
      </c>
      <c r="D206" s="2">
        <f ca="1">IFERROR(__xludf.DUMMYFUNCTION("IF($A206="""","""", IFERROR(
  INDEX(
    FILTER(CPI_US!$D$2:$D$130, MONTH(CPI_US!$A$2:$A$130)=MONTH($A206), YEAR(CPI_US!$A$2:$A$130)=YEAR($A206)),
    1
  ),
""""))"),2.19999999999999)</f>
        <v>2.19999999999999</v>
      </c>
      <c r="E206" s="2">
        <v>5.1909999999999998</v>
      </c>
      <c r="F206" s="2">
        <v>2.2000000000000002</v>
      </c>
      <c r="G206" s="2">
        <v>952</v>
      </c>
      <c r="H206" s="2">
        <v>2633.1</v>
      </c>
      <c r="I206" s="2">
        <v>19.100000000000001</v>
      </c>
      <c r="J206" s="2">
        <v>52.2</v>
      </c>
      <c r="K206" s="2">
        <f ca="1">IFERROR(__xludf.DUMMYFUNCTION("IF($A206="""","""", IFERROR(
  INDEX(
    FILTER(IMEX_VN!$B$2:$B$130, MONTH(IMEX_VN!$A$2:$A$130)=MONTH($A206), YEAR(IMEX_VN!$A$2:$A$130)=YEAR($A206)),
    1
  ),
""""))"),-0.899999999999998)</f>
        <v>-0.89999999999999802</v>
      </c>
      <c r="L206" s="6">
        <v>97</v>
      </c>
      <c r="M206" s="7">
        <v>55.1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8">
        <v>43443</v>
      </c>
      <c r="B207" s="9">
        <v>23287</v>
      </c>
      <c r="C207" s="2">
        <f ca="1">IFERROR(__xludf.DUMMYFUNCTION("IF($A207="""","""", IFERROR(
  INDEX(
    FILTER(CPI_VN!$C$2:$C$82, MONTH(CPI_VN!$A$2:$A$82)=MONTH($A207), YEAR(CPI_VN!$A$2:$A$82)=YEAR($A207)),
    1
  ),
""""))"),2.98)</f>
        <v>2.98</v>
      </c>
      <c r="D207" s="2">
        <f ca="1">IFERROR(__xludf.DUMMYFUNCTION("IF($A207="""","""", IFERROR(
  INDEX(
    FILTER(CPI_US!$D$2:$D$130, MONTH(CPI_US!$A$2:$A$130)=MONTH($A207), YEAR(CPI_US!$A$2:$A$130)=YEAR($A207)),
    1
  ),
""""))"),2.19999999999999)</f>
        <v>2.19999999999999</v>
      </c>
      <c r="E207" s="2">
        <v>5.1989999999999998</v>
      </c>
      <c r="F207" s="2">
        <v>2.19</v>
      </c>
      <c r="G207" s="2">
        <v>912</v>
      </c>
      <c r="H207" s="2">
        <v>2599.9</v>
      </c>
      <c r="I207" s="2">
        <v>19.100000000000001</v>
      </c>
      <c r="J207" s="2">
        <v>52.2</v>
      </c>
      <c r="K207" s="2">
        <f ca="1">IFERROR(__xludf.DUMMYFUNCTION("IF($A207="""","""", IFERROR(
  INDEX(
    FILTER(IMEX_VN!$B$2:$B$130, MONTH(IMEX_VN!$A$2:$A$130)=MONTH($A207), YEAR(IMEX_VN!$A$2:$A$130)=YEAR($A207)),
    1
  ),
""""))"),-0.899999999999998)</f>
        <v>-0.89999999999999802</v>
      </c>
      <c r="L207" s="6">
        <v>97</v>
      </c>
      <c r="M207" s="7">
        <v>55.1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8">
        <v>43450</v>
      </c>
      <c r="B208" s="9">
        <v>23282</v>
      </c>
      <c r="C208" s="2">
        <f ca="1">IFERROR(__xludf.DUMMYFUNCTION("IF($A208="""","""", IFERROR(
  INDEX(
    FILTER(CPI_VN!$C$2:$C$82, MONTH(CPI_VN!$A$2:$A$82)=MONTH($A208), YEAR(CPI_VN!$A$2:$A$82)=YEAR($A208)),
    1
  ),
""""))"),2.98)</f>
        <v>2.98</v>
      </c>
      <c r="D208" s="2">
        <f ca="1">IFERROR(__xludf.DUMMYFUNCTION("IF($A208="""","""", IFERROR(
  INDEX(
    FILTER(CPI_US!$D$2:$D$130, MONTH(CPI_US!$A$2:$A$130)=MONTH($A208), YEAR(CPI_US!$A$2:$A$130)=YEAR($A208)),
    1
  ),
""""))"),2.19999999999999)</f>
        <v>2.19999999999999</v>
      </c>
      <c r="E208" s="2">
        <v>5.1769999999999996</v>
      </c>
      <c r="F208" s="2">
        <v>2.19</v>
      </c>
      <c r="G208" s="2">
        <v>892</v>
      </c>
      <c r="H208" s="2">
        <v>2416.6</v>
      </c>
      <c r="I208" s="2">
        <v>19.100000000000001</v>
      </c>
      <c r="J208" s="2">
        <v>52.2</v>
      </c>
      <c r="K208" s="2">
        <f ca="1">IFERROR(__xludf.DUMMYFUNCTION("IF($A208="""","""", IFERROR(
  INDEX(
    FILTER(IMEX_VN!$B$2:$B$130, MONTH(IMEX_VN!$A$2:$A$130)=MONTH($A208), YEAR(IMEX_VN!$A$2:$A$130)=YEAR($A208)),
    1
  ),
""""))"),-0.899999999999998)</f>
        <v>-0.89999999999999802</v>
      </c>
      <c r="L208" s="6">
        <v>97</v>
      </c>
      <c r="M208" s="7">
        <v>55.1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8">
        <v>43457</v>
      </c>
      <c r="B209" s="9">
        <v>23190</v>
      </c>
      <c r="C209" s="2">
        <f ca="1">IFERROR(__xludf.DUMMYFUNCTION("IF($A209="""","""", IFERROR(
  INDEX(
    FILTER(CPI_VN!$C$2:$C$82, MONTH(CPI_VN!$A$2:$A$82)=MONTH($A209), YEAR(CPI_VN!$A$2:$A$82)=YEAR($A209)),
    1
  ),
""""))"),2.98)</f>
        <v>2.98</v>
      </c>
      <c r="D209" s="2">
        <f ca="1">IFERROR(__xludf.DUMMYFUNCTION("IF($A209="""","""", IFERROR(
  INDEX(
    FILTER(CPI_US!$D$2:$D$130, MONTH(CPI_US!$A$2:$A$130)=MONTH($A209), YEAR(CPI_US!$A$2:$A$130)=YEAR($A209)),
    1
  ),
""""))"),2.19999999999999)</f>
        <v>2.19999999999999</v>
      </c>
      <c r="E209" s="2">
        <v>5.1660000000000004</v>
      </c>
      <c r="F209" s="2">
        <v>2.4</v>
      </c>
      <c r="G209" s="2">
        <v>880</v>
      </c>
      <c r="H209" s="2">
        <v>2485.6999999999998</v>
      </c>
      <c r="I209" s="2">
        <v>19.100000000000001</v>
      </c>
      <c r="J209" s="2">
        <v>52.2</v>
      </c>
      <c r="K209" s="2">
        <f ca="1">IFERROR(__xludf.DUMMYFUNCTION("IF($A209="""","""", IFERROR(
  INDEX(
    FILTER(IMEX_VN!$B$2:$B$130, MONTH(IMEX_VN!$A$2:$A$130)=MONTH($A209), YEAR(IMEX_VN!$A$2:$A$130)=YEAR($A209)),
    1
  ),
""""))"),-0.899999999999998)</f>
        <v>-0.89999999999999802</v>
      </c>
      <c r="L209" s="6">
        <v>96</v>
      </c>
      <c r="M209" s="7">
        <v>55.1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8">
        <v>43464</v>
      </c>
      <c r="B210" s="9">
        <v>23198</v>
      </c>
      <c r="C210" s="2">
        <f ca="1">IFERROR(__xludf.DUMMYFUNCTION("IF($A210="""","""", IFERROR(
  INDEX(
    FILTER(CPI_VN!$C$2:$C$82, MONTH(CPI_VN!$A$2:$A$82)=MONTH($A210), YEAR(CPI_VN!$A$2:$A$82)=YEAR($A210)),
    1
  ),
""""))"),2.98)</f>
        <v>2.98</v>
      </c>
      <c r="D210" s="2">
        <f ca="1">IFERROR(__xludf.DUMMYFUNCTION("IF($A210="""","""", IFERROR(
  INDEX(
    FILTER(CPI_US!$D$2:$D$130, MONTH(CPI_US!$A$2:$A$130)=MONTH($A210), YEAR(CPI_US!$A$2:$A$130)=YEAR($A210)),
    1
  ),
""""))"),2.19999999999999)</f>
        <v>2.19999999999999</v>
      </c>
      <c r="E210" s="2">
        <v>5.1669999999999998</v>
      </c>
      <c r="F210" s="2">
        <v>2.4</v>
      </c>
      <c r="G210" s="2">
        <v>902</v>
      </c>
      <c r="H210" s="2">
        <v>2531.94</v>
      </c>
      <c r="I210" s="2">
        <v>19.100000000000001</v>
      </c>
      <c r="J210" s="2">
        <v>52.2</v>
      </c>
      <c r="K210" s="2">
        <f ca="1">IFERROR(__xludf.DUMMYFUNCTION("IF($A210="""","""", IFERROR(
  INDEX(
    FILTER(IMEX_VN!$B$2:$B$130, MONTH(IMEX_VN!$A$2:$A$130)=MONTH($A210), YEAR(IMEX_VN!$A$2:$A$130)=YEAR($A210)),
    1
  ),
""""))"),-0.899999999999998)</f>
        <v>-0.89999999999999802</v>
      </c>
      <c r="L210" s="6">
        <v>96</v>
      </c>
      <c r="M210" s="7">
        <v>55.1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8">
        <v>43471</v>
      </c>
      <c r="B211" s="9">
        <v>23198</v>
      </c>
      <c r="C211" s="2">
        <f ca="1">IFERROR(__xludf.DUMMYFUNCTION("IF($A211="""","""", IFERROR(
  INDEX(
    FILTER(CPI_VN!$C$2:$C$82, MONTH(CPI_VN!$A$2:$A$82)=MONTH($A211), YEAR(CPI_VN!$A$2:$A$82)=YEAR($A211)),
    1
  ),
""""))"),2.56)</f>
        <v>2.56</v>
      </c>
      <c r="D211" s="2">
        <f ca="1">IFERROR(__xludf.DUMMYFUNCTION("IF($A211="""","""", IFERROR(
  INDEX(
    FILTER(CPI_US!$D$2:$D$130, MONTH(CPI_US!$A$2:$A$130)=MONTH($A211), YEAR(CPI_US!$A$2:$A$130)=YEAR($A211)),
    1
  ),
""""))"),1.9)</f>
        <v>1.9</v>
      </c>
      <c r="E211" s="2">
        <v>5</v>
      </c>
      <c r="F211" s="2">
        <v>2.4</v>
      </c>
      <c r="G211" s="2">
        <v>902</v>
      </c>
      <c r="H211" s="2">
        <v>2596.2600000000002</v>
      </c>
      <c r="I211" s="2">
        <v>1.55</v>
      </c>
      <c r="J211" s="2">
        <v>45.9</v>
      </c>
      <c r="K211" s="2">
        <f ca="1">IFERROR(__xludf.DUMMYFUNCTION("IF($A211="""","""", IFERROR(
  INDEX(
    FILTER(IMEX_VN!$B$2:$B$130, MONTH(IMEX_VN!$A$2:$A$130)=MONTH($A211), YEAR(IMEX_VN!$A$2:$A$130)=YEAR($A211)),
    1
  ),
""""))"),0.8)</f>
        <v>0.8</v>
      </c>
      <c r="L211" s="6">
        <v>96</v>
      </c>
      <c r="M211" s="7">
        <v>59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8">
        <v>43478</v>
      </c>
      <c r="B212" s="9">
        <v>23197</v>
      </c>
      <c r="C212" s="2">
        <f ca="1">IFERROR(__xludf.DUMMYFUNCTION("IF($A212="""","""", IFERROR(
  INDEX(
    FILTER(CPI_VN!$C$2:$C$82, MONTH(CPI_VN!$A$2:$A$82)=MONTH($A212), YEAR(CPI_VN!$A$2:$A$82)=YEAR($A212)),
    1
  ),
""""))"),2.56)</f>
        <v>2.56</v>
      </c>
      <c r="D212" s="2">
        <f ca="1">IFERROR(__xludf.DUMMYFUNCTION("IF($A212="""","""", IFERROR(
  INDEX(
    FILTER(CPI_US!$D$2:$D$130, MONTH(CPI_US!$A$2:$A$130)=MONTH($A212), YEAR(CPI_US!$A$2:$A$130)=YEAR($A212)),
    1
  ),
""""))"),1.9)</f>
        <v>1.9</v>
      </c>
      <c r="E212" s="2">
        <v>4.9429999999999996</v>
      </c>
      <c r="F212" s="2">
        <v>2.4</v>
      </c>
      <c r="G212" s="2">
        <v>908</v>
      </c>
      <c r="H212" s="2">
        <v>2670.71</v>
      </c>
      <c r="I212" s="2">
        <v>1.55</v>
      </c>
      <c r="J212" s="2">
        <v>45.9</v>
      </c>
      <c r="K212" s="2">
        <f ca="1">IFERROR(__xludf.DUMMYFUNCTION("IF($A212="""","""", IFERROR(
  INDEX(
    FILTER(IMEX_VN!$B$2:$B$130, MONTH(IMEX_VN!$A$2:$A$130)=MONTH($A212), YEAR(IMEX_VN!$A$2:$A$130)=YEAR($A212)),
    1
  ),
""""))"),0.8)</f>
        <v>0.8</v>
      </c>
      <c r="L212" s="6">
        <v>96</v>
      </c>
      <c r="M212" s="7">
        <v>59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8">
        <v>43485</v>
      </c>
      <c r="B213" s="9">
        <v>23192</v>
      </c>
      <c r="C213" s="2">
        <f ca="1">IFERROR(__xludf.DUMMYFUNCTION("IF($A213="""","""", IFERROR(
  INDEX(
    FILTER(CPI_VN!$C$2:$C$82, MONTH(CPI_VN!$A$2:$A$82)=MONTH($A213), YEAR(CPI_VN!$A$2:$A$82)=YEAR($A213)),
    1
  ),
""""))"),2.56)</f>
        <v>2.56</v>
      </c>
      <c r="D213" s="2">
        <f ca="1">IFERROR(__xludf.DUMMYFUNCTION("IF($A213="""","""", IFERROR(
  INDEX(
    FILTER(CPI_US!$D$2:$D$130, MONTH(CPI_US!$A$2:$A$130)=MONTH($A213), YEAR(CPI_US!$A$2:$A$130)=YEAR($A213)),
    1
  ),
""""))"),1.9)</f>
        <v>1.9</v>
      </c>
      <c r="E213" s="2">
        <v>4.9020000000000001</v>
      </c>
      <c r="F213" s="2">
        <v>2.4</v>
      </c>
      <c r="G213" s="2">
        <v>908</v>
      </c>
      <c r="H213" s="2">
        <v>2664.76</v>
      </c>
      <c r="I213" s="2">
        <v>1.55</v>
      </c>
      <c r="J213" s="2">
        <v>45.9</v>
      </c>
      <c r="K213" s="2">
        <f ca="1">IFERROR(__xludf.DUMMYFUNCTION("IF($A213="""","""", IFERROR(
  INDEX(
    FILTER(IMEX_VN!$B$2:$B$130, MONTH(IMEX_VN!$A$2:$A$130)=MONTH($A213), YEAR(IMEX_VN!$A$2:$A$130)=YEAR($A213)),
    1
  ),
""""))"),0.8)</f>
        <v>0.8</v>
      </c>
      <c r="L213" s="6">
        <v>96</v>
      </c>
      <c r="M213" s="7">
        <v>59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8">
        <v>43492</v>
      </c>
      <c r="B214" s="9">
        <v>23200</v>
      </c>
      <c r="C214" s="2">
        <f ca="1">IFERROR(__xludf.DUMMYFUNCTION("IF($A214="""","""", IFERROR(
  INDEX(
    FILTER(CPI_VN!$C$2:$C$82, MONTH(CPI_VN!$A$2:$A$82)=MONTH($A214), YEAR(CPI_VN!$A$2:$A$82)=YEAR($A214)),
    1
  ),
""""))"),2.56)</f>
        <v>2.56</v>
      </c>
      <c r="D214" s="2">
        <f ca="1">IFERROR(__xludf.DUMMYFUNCTION("IF($A214="""","""", IFERROR(
  INDEX(
    FILTER(CPI_US!$D$2:$D$130, MONTH(CPI_US!$A$2:$A$130)=MONTH($A214), YEAR(CPI_US!$A$2:$A$130)=YEAR($A214)),
    1
  ),
""""))"),1.9)</f>
        <v>1.9</v>
      </c>
      <c r="E214" s="2">
        <v>4.8680000000000003</v>
      </c>
      <c r="F214" s="2">
        <v>2.4</v>
      </c>
      <c r="G214" s="2">
        <v>950</v>
      </c>
      <c r="H214" s="2">
        <v>2706.53</v>
      </c>
      <c r="I214" s="2">
        <v>1.55</v>
      </c>
      <c r="J214" s="2">
        <v>45.9</v>
      </c>
      <c r="K214" s="2">
        <f ca="1">IFERROR(__xludf.DUMMYFUNCTION("IF($A214="""","""", IFERROR(
  INDEX(
    FILTER(IMEX_VN!$B$2:$B$130, MONTH(IMEX_VN!$A$2:$A$130)=MONTH($A214), YEAR(IMEX_VN!$A$2:$A$130)=YEAR($A214)),
    1
  ),
""""))"),0.8)</f>
        <v>0.8</v>
      </c>
      <c r="L214" s="6">
        <v>96</v>
      </c>
      <c r="M214" s="7">
        <v>59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8">
        <v>43499</v>
      </c>
      <c r="B215" s="9">
        <v>23207</v>
      </c>
      <c r="C215" s="2">
        <f ca="1">IFERROR(__xludf.DUMMYFUNCTION("IF($A215="""","""", IFERROR(
  INDEX(
    FILTER(CPI_VN!$C$2:$C$82, MONTH(CPI_VN!$A$2:$A$82)=MONTH($A215), YEAR(CPI_VN!$A$2:$A$82)=YEAR($A215)),
    1
  ),
""""))"),2.64)</f>
        <v>2.64</v>
      </c>
      <c r="D215" s="2">
        <f ca="1">IFERROR(__xludf.DUMMYFUNCTION("IF($A215="""","""", IFERROR(
  INDEX(
    FILTER(CPI_US!$D$2:$D$130, MONTH(CPI_US!$A$2:$A$130)=MONTH($A215), YEAR(CPI_US!$A$2:$A$130)=YEAR($A215)),
    1
  ),
""""))"),1.6)</f>
        <v>1.6</v>
      </c>
      <c r="E215" s="2">
        <v>4.8680000000000003</v>
      </c>
      <c r="F215" s="2">
        <v>2.4</v>
      </c>
      <c r="G215" s="2">
        <v>988</v>
      </c>
      <c r="H215" s="2">
        <v>2707.88</v>
      </c>
      <c r="I215" s="2">
        <v>2.58</v>
      </c>
      <c r="J215" s="2">
        <v>45.9</v>
      </c>
      <c r="K215" s="2">
        <f ca="1">IFERROR(__xludf.DUMMYFUNCTION("IF($A215="""","""", IFERROR(
  INDEX(
    FILTER(IMEX_VN!$B$2:$B$130, MONTH(IMEX_VN!$A$2:$A$130)=MONTH($A215), YEAR(IMEX_VN!$A$2:$A$130)=YEAR($A215)),
    1
  ),
""""))"),-0.799999999999998)</f>
        <v>-0.79999999999999805</v>
      </c>
      <c r="L215" s="6">
        <v>97</v>
      </c>
      <c r="M215" s="7">
        <v>60.3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8">
        <v>43506</v>
      </c>
      <c r="B216" s="9">
        <v>23201</v>
      </c>
      <c r="C216" s="2">
        <f ca="1">IFERROR(__xludf.DUMMYFUNCTION("IF($A216="""","""", IFERROR(
  INDEX(
    FILTER(CPI_VN!$C$2:$C$82, MONTH(CPI_VN!$A$2:$A$82)=MONTH($A216), YEAR(CPI_VN!$A$2:$A$82)=YEAR($A216)),
    1
  ),
""""))"),2.64)</f>
        <v>2.64</v>
      </c>
      <c r="D216" s="2">
        <f ca="1">IFERROR(__xludf.DUMMYFUNCTION("IF($A216="""","""", IFERROR(
  INDEX(
    FILTER(CPI_US!$D$2:$D$130, MONTH(CPI_US!$A$2:$A$130)=MONTH($A216), YEAR(CPI_US!$A$2:$A$130)=YEAR($A216)),
    1
  ),
""""))"),1.6)</f>
        <v>1.6</v>
      </c>
      <c r="E216" s="2">
        <v>4.6959999999999997</v>
      </c>
      <c r="F216" s="2">
        <v>2.4</v>
      </c>
      <c r="G216" s="2">
        <v>979</v>
      </c>
      <c r="H216" s="2">
        <v>2775.6</v>
      </c>
      <c r="I216" s="2">
        <v>2.58</v>
      </c>
      <c r="J216" s="2">
        <v>45.9</v>
      </c>
      <c r="K216" s="2">
        <f ca="1">IFERROR(__xludf.DUMMYFUNCTION("IF($A216="""","""", IFERROR(
  INDEX(
    FILTER(IMEX_VN!$B$2:$B$130, MONTH(IMEX_VN!$A$2:$A$130)=MONTH($A216), YEAR(IMEX_VN!$A$2:$A$130)=YEAR($A216)),
    1
  ),
""""))"),-0.799999999999998)</f>
        <v>-0.79999999999999805</v>
      </c>
      <c r="L216" s="6">
        <v>97</v>
      </c>
      <c r="M216" s="7">
        <v>60.3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8">
        <v>43513</v>
      </c>
      <c r="B217" s="9">
        <v>23209</v>
      </c>
      <c r="C217" s="2">
        <f ca="1">IFERROR(__xludf.DUMMYFUNCTION("IF($A217="""","""", IFERROR(
  INDEX(
    FILTER(CPI_VN!$C$2:$C$82, MONTH(CPI_VN!$A$2:$A$82)=MONTH($A217), YEAR(CPI_VN!$A$2:$A$82)=YEAR($A217)),
    1
  ),
""""))"),2.64)</f>
        <v>2.64</v>
      </c>
      <c r="D217" s="2">
        <f ca="1">IFERROR(__xludf.DUMMYFUNCTION("IF($A217="""","""", IFERROR(
  INDEX(
    FILTER(CPI_US!$D$2:$D$130, MONTH(CPI_US!$A$2:$A$130)=MONTH($A217), YEAR(CPI_US!$A$2:$A$130)=YEAR($A217)),
    1
  ),
""""))"),1.6)</f>
        <v>1.6</v>
      </c>
      <c r="E217" s="2">
        <v>4.7539999999999996</v>
      </c>
      <c r="F217" s="2">
        <v>2.4</v>
      </c>
      <c r="G217" s="2">
        <v>985</v>
      </c>
      <c r="H217" s="2">
        <v>2792.67</v>
      </c>
      <c r="I217" s="2">
        <v>2.58</v>
      </c>
      <c r="J217" s="2">
        <v>45.9</v>
      </c>
      <c r="K217" s="2">
        <f ca="1">IFERROR(__xludf.DUMMYFUNCTION("IF($A217="""","""", IFERROR(
  INDEX(
    FILTER(IMEX_VN!$B$2:$B$130, MONTH(IMEX_VN!$A$2:$A$130)=MONTH($A217), YEAR(IMEX_VN!$A$2:$A$130)=YEAR($A217)),
    1
  ),
""""))"),-0.799999999999998)</f>
        <v>-0.79999999999999805</v>
      </c>
      <c r="L217" s="6">
        <v>97</v>
      </c>
      <c r="M217" s="7">
        <v>60.3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8">
        <v>43520</v>
      </c>
      <c r="B218" s="9">
        <v>23202</v>
      </c>
      <c r="C218" s="2">
        <f ca="1">IFERROR(__xludf.DUMMYFUNCTION("IF($A218="""","""", IFERROR(
  INDEX(
    FILTER(CPI_VN!$C$2:$C$82, MONTH(CPI_VN!$A$2:$A$82)=MONTH($A218), YEAR(CPI_VN!$A$2:$A$82)=YEAR($A218)),
    1
  ),
""""))"),2.64)</f>
        <v>2.64</v>
      </c>
      <c r="D218" s="2">
        <f ca="1">IFERROR(__xludf.DUMMYFUNCTION("IF($A218="""","""", IFERROR(
  INDEX(
    FILTER(CPI_US!$D$2:$D$130, MONTH(CPI_US!$A$2:$A$130)=MONTH($A218), YEAR(CPI_US!$A$2:$A$130)=YEAR($A218)),
    1
  ),
""""))"),1.6)</f>
        <v>1.6</v>
      </c>
      <c r="E218" s="2">
        <v>4.7619999999999996</v>
      </c>
      <c r="F218" s="2">
        <v>2.4</v>
      </c>
      <c r="G218" s="2">
        <v>1004</v>
      </c>
      <c r="H218" s="2">
        <v>2803.69</v>
      </c>
      <c r="I218" s="2">
        <v>2.58</v>
      </c>
      <c r="J218" s="2">
        <v>45.9</v>
      </c>
      <c r="K218" s="2">
        <f ca="1">IFERROR(__xludf.DUMMYFUNCTION("IF($A218="""","""", IFERROR(
  INDEX(
    FILTER(IMEX_VN!$B$2:$B$130, MONTH(IMEX_VN!$A$2:$A$130)=MONTH($A218), YEAR(IMEX_VN!$A$2:$A$130)=YEAR($A218)),
    1
  ),
""""))"),-0.799999999999998)</f>
        <v>-0.79999999999999805</v>
      </c>
      <c r="L218" s="6">
        <v>97</v>
      </c>
      <c r="M218" s="7">
        <v>60.3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8">
        <v>43527</v>
      </c>
      <c r="B219" s="9">
        <v>23199</v>
      </c>
      <c r="C219" s="2">
        <f ca="1">IFERROR(__xludf.DUMMYFUNCTION("IF($A219="""","""", IFERROR(
  INDEX(
    FILTER(CPI_VN!$C$2:$C$82, MONTH(CPI_VN!$A$2:$A$82)=MONTH($A219), YEAR(CPI_VN!$A$2:$A$82)=YEAR($A219)),
    1
  ),
""""))"),2.7)</f>
        <v>2.7</v>
      </c>
      <c r="D219" s="2">
        <f ca="1">IFERROR(__xludf.DUMMYFUNCTION("IF($A219="""","""", IFERROR(
  INDEX(
    FILTER(CPI_US!$D$2:$D$130, MONTH(CPI_US!$A$2:$A$130)=MONTH($A219), YEAR(CPI_US!$A$2:$A$130)=YEAR($A219)),
    1
  ),
""""))"),1.5)</f>
        <v>1.5</v>
      </c>
      <c r="E219" s="2">
        <v>4.7830000000000004</v>
      </c>
      <c r="F219" s="2">
        <v>2.4</v>
      </c>
      <c r="G219" s="2">
        <v>988</v>
      </c>
      <c r="H219" s="2">
        <v>2743.07</v>
      </c>
      <c r="I219" s="2">
        <v>4.12</v>
      </c>
      <c r="J219" s="2">
        <v>45.9</v>
      </c>
      <c r="K219" s="2">
        <f ca="1">IFERROR(__xludf.DUMMYFUNCTION("IF($A219="""","""", IFERROR(
  INDEX(
    FILTER(IMEX_VN!$B$2:$B$130, MONTH(IMEX_VN!$A$2:$A$130)=MONTH($A219), YEAR(IMEX_VN!$A$2:$A$130)=YEAR($A219)),
    1
  ),
""""))"),1.6)</f>
        <v>1.6</v>
      </c>
      <c r="L219" s="6">
        <v>97</v>
      </c>
      <c r="M219" s="7">
        <v>62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8">
        <v>43534</v>
      </c>
      <c r="B220" s="9">
        <v>23198</v>
      </c>
      <c r="C220" s="2">
        <f ca="1">IFERROR(__xludf.DUMMYFUNCTION("IF($A220="""","""", IFERROR(
  INDEX(
    FILTER(CPI_VN!$C$2:$C$82, MONTH(CPI_VN!$A$2:$A$82)=MONTH($A220), YEAR(CPI_VN!$A$2:$A$82)=YEAR($A220)),
    1
  ),
""""))"),2.7)</f>
        <v>2.7</v>
      </c>
      <c r="D220" s="2">
        <f ca="1">IFERROR(__xludf.DUMMYFUNCTION("IF($A220="""","""", IFERROR(
  INDEX(
    FILTER(CPI_US!$D$2:$D$130, MONTH(CPI_US!$A$2:$A$130)=MONTH($A220), YEAR(CPI_US!$A$2:$A$130)=YEAR($A220)),
    1
  ),
""""))"),1.5)</f>
        <v>1.5</v>
      </c>
      <c r="E220" s="2">
        <v>4.7939999999999996</v>
      </c>
      <c r="F220" s="2">
        <v>2.4</v>
      </c>
      <c r="G220" s="2">
        <v>980</v>
      </c>
      <c r="H220" s="2">
        <v>2822.48</v>
      </c>
      <c r="I220" s="2">
        <v>4.12</v>
      </c>
      <c r="J220" s="2">
        <v>45.9</v>
      </c>
      <c r="K220" s="2">
        <f ca="1">IFERROR(__xludf.DUMMYFUNCTION("IF($A220="""","""", IFERROR(
  INDEX(
    FILTER(IMEX_VN!$B$2:$B$130, MONTH(IMEX_VN!$A$2:$A$130)=MONTH($A220), YEAR(IMEX_VN!$A$2:$A$130)=YEAR($A220)),
    1
  ),
""""))"),1.6)</f>
        <v>1.6</v>
      </c>
      <c r="L220" s="6">
        <v>97</v>
      </c>
      <c r="M220" s="7">
        <v>62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8">
        <v>43541</v>
      </c>
      <c r="B221" s="9">
        <v>23199</v>
      </c>
      <c r="C221" s="2">
        <f ca="1">IFERROR(__xludf.DUMMYFUNCTION("IF($A221="""","""", IFERROR(
  INDEX(
    FILTER(CPI_VN!$C$2:$C$82, MONTH(CPI_VN!$A$2:$A$82)=MONTH($A221), YEAR(CPI_VN!$A$2:$A$82)=YEAR($A221)),
    1
  ),
""""))"),2.7)</f>
        <v>2.7</v>
      </c>
      <c r="D221" s="2">
        <f ca="1">IFERROR(__xludf.DUMMYFUNCTION("IF($A221="""","""", IFERROR(
  INDEX(
    FILTER(CPI_US!$D$2:$D$130, MONTH(CPI_US!$A$2:$A$130)=MONTH($A221), YEAR(CPI_US!$A$2:$A$130)=YEAR($A221)),
    1
  ),
""""))"),1.5)</f>
        <v>1.5</v>
      </c>
      <c r="E221" s="2">
        <v>4.8339999999999996</v>
      </c>
      <c r="F221" s="2">
        <v>2.4</v>
      </c>
      <c r="G221" s="2">
        <v>989</v>
      </c>
      <c r="H221" s="2">
        <v>2800.71</v>
      </c>
      <c r="I221" s="2">
        <v>4.12</v>
      </c>
      <c r="J221" s="2">
        <v>45.9</v>
      </c>
      <c r="K221" s="2">
        <f ca="1">IFERROR(__xludf.DUMMYFUNCTION("IF($A221="""","""", IFERROR(
  INDEX(
    FILTER(IMEX_VN!$B$2:$B$130, MONTH(IMEX_VN!$A$2:$A$130)=MONTH($A221), YEAR(IMEX_VN!$A$2:$A$130)=YEAR($A221)),
    1
  ),
""""))"),1.6)</f>
        <v>1.6</v>
      </c>
      <c r="L221" s="6">
        <v>97</v>
      </c>
      <c r="M221" s="7">
        <v>62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8">
        <v>43548</v>
      </c>
      <c r="B222" s="9">
        <v>23203</v>
      </c>
      <c r="C222" s="2">
        <f ca="1">IFERROR(__xludf.DUMMYFUNCTION("IF($A222="""","""", IFERROR(
  INDEX(
    FILTER(CPI_VN!$C$2:$C$82, MONTH(CPI_VN!$A$2:$A$82)=MONTH($A222), YEAR(CPI_VN!$A$2:$A$82)=YEAR($A222)),
    1
  ),
""""))"),2.7)</f>
        <v>2.7</v>
      </c>
      <c r="D222" s="2">
        <f ca="1">IFERROR(__xludf.DUMMYFUNCTION("IF($A222="""","""", IFERROR(
  INDEX(
    FILTER(CPI_US!$D$2:$D$130, MONTH(CPI_US!$A$2:$A$130)=MONTH($A222), YEAR(CPI_US!$A$2:$A$130)=YEAR($A222)),
    1
  ),
""""))"),1.5)</f>
        <v>1.5</v>
      </c>
      <c r="E222" s="2">
        <v>4.8280000000000003</v>
      </c>
      <c r="F222" s="2">
        <v>2.41</v>
      </c>
      <c r="G222" s="2">
        <v>982</v>
      </c>
      <c r="H222" s="2">
        <v>2834.4</v>
      </c>
      <c r="I222" s="2">
        <v>4.12</v>
      </c>
      <c r="J222" s="2">
        <v>45.9</v>
      </c>
      <c r="K222" s="2">
        <f ca="1">IFERROR(__xludf.DUMMYFUNCTION("IF($A222="""","""", IFERROR(
  INDEX(
    FILTER(IMEX_VN!$B$2:$B$130, MONTH(IMEX_VN!$A$2:$A$130)=MONTH($A222), YEAR(IMEX_VN!$A$2:$A$130)=YEAR($A222)),
    1
  ),
""""))"),1.6)</f>
        <v>1.6</v>
      </c>
      <c r="L222" s="6">
        <v>97</v>
      </c>
      <c r="M222" s="7">
        <v>62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8">
        <v>43555</v>
      </c>
      <c r="B223" s="9">
        <v>23199</v>
      </c>
      <c r="C223" s="2">
        <f ca="1">IFERROR(__xludf.DUMMYFUNCTION("IF($A223="""","""", IFERROR(
  INDEX(
    FILTER(CPI_VN!$C$2:$C$82, MONTH(CPI_VN!$A$2:$A$82)=MONTH($A223), YEAR(CPI_VN!$A$2:$A$82)=YEAR($A223)),
    1
  ),
""""))"),2.7)</f>
        <v>2.7</v>
      </c>
      <c r="D223" s="2">
        <f ca="1">IFERROR(__xludf.DUMMYFUNCTION("IF($A223="""","""", IFERROR(
  INDEX(
    FILTER(CPI_US!$D$2:$D$130, MONTH(CPI_US!$A$2:$A$130)=MONTH($A223), YEAR(CPI_US!$A$2:$A$130)=YEAR($A223)),
    1
  ),
""""))"),1.5)</f>
        <v>1.5</v>
      </c>
      <c r="E223" s="2">
        <v>4.8129999999999997</v>
      </c>
      <c r="F223" s="2">
        <v>2.4300000000000002</v>
      </c>
      <c r="G223" s="2">
        <v>966</v>
      </c>
      <c r="H223" s="2">
        <v>2892.74</v>
      </c>
      <c r="I223" s="2">
        <v>4.12</v>
      </c>
      <c r="J223" s="2">
        <v>45.9</v>
      </c>
      <c r="K223" s="2">
        <f ca="1">IFERROR(__xludf.DUMMYFUNCTION("IF($A223="""","""", IFERROR(
  INDEX(
    FILTER(IMEX_VN!$B$2:$B$130, MONTH(IMEX_VN!$A$2:$A$130)=MONTH($A223), YEAR(IMEX_VN!$A$2:$A$130)=YEAR($A223)),
    1
  ),
""""))"),1.6)</f>
        <v>1.6</v>
      </c>
      <c r="L223" s="6">
        <v>97</v>
      </c>
      <c r="M223" s="7">
        <v>62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8">
        <v>43562</v>
      </c>
      <c r="B224" s="9">
        <v>23199</v>
      </c>
      <c r="C224" s="2">
        <f ca="1">IFERROR(__xludf.DUMMYFUNCTION("IF($A224="""","""", IFERROR(
  INDEX(
    FILTER(CPI_VN!$C$2:$C$82, MONTH(CPI_VN!$A$2:$A$82)=MONTH($A224), YEAR(CPI_VN!$A$2:$A$82)=YEAR($A224)),
    1
  ),
""""))"),2.9)</f>
        <v>2.9</v>
      </c>
      <c r="D224" s="2">
        <f ca="1">IFERROR(__xludf.DUMMYFUNCTION("IF($A224="""","""", IFERROR(
  INDEX(
    FILTER(CPI_US!$D$2:$D$130, MONTH(CPI_US!$A$2:$A$130)=MONTH($A224), YEAR(CPI_US!$A$2:$A$130)=YEAR($A224)),
    1
  ),
""""))"),1.9)</f>
        <v>1.9</v>
      </c>
      <c r="E224" s="2">
        <v>4.7960000000000003</v>
      </c>
      <c r="F224" s="2">
        <v>2.41</v>
      </c>
      <c r="G224" s="2">
        <v>979</v>
      </c>
      <c r="H224" s="2">
        <v>2907.41</v>
      </c>
      <c r="I224" s="2">
        <v>5.7</v>
      </c>
      <c r="J224" s="2">
        <v>50.3</v>
      </c>
      <c r="K224" s="2">
        <f ca="1">IFERROR(__xludf.DUMMYFUNCTION("IF($A224="""","""", IFERROR(
  INDEX(
    FILTER(IMEX_VN!$B$2:$B$130, MONTH(IMEX_VN!$A$2:$A$130)=MONTH($A224), YEAR(IMEX_VN!$A$2:$A$130)=YEAR($A224)),
    1
  ),
""""))"),-0.600000000000001)</f>
        <v>-0.60000000000000098</v>
      </c>
      <c r="L224" s="6">
        <v>97</v>
      </c>
      <c r="M224" s="7">
        <v>63.9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8">
        <v>43569</v>
      </c>
      <c r="B225" s="9">
        <v>23210</v>
      </c>
      <c r="C225" s="2">
        <f ca="1">IFERROR(__xludf.DUMMYFUNCTION("IF($A225="""","""", IFERROR(
  INDEX(
    FILTER(CPI_VN!$C$2:$C$82, MONTH(CPI_VN!$A$2:$A$82)=MONTH($A225), YEAR(CPI_VN!$A$2:$A$82)=YEAR($A225)),
    1
  ),
""""))"),2.9)</f>
        <v>2.9</v>
      </c>
      <c r="D225" s="2">
        <f ca="1">IFERROR(__xludf.DUMMYFUNCTION("IF($A225="""","""", IFERROR(
  INDEX(
    FILTER(CPI_US!$D$2:$D$130, MONTH(CPI_US!$A$2:$A$130)=MONTH($A225), YEAR(CPI_US!$A$2:$A$130)=YEAR($A225)),
    1
  ),
""""))"),1.9)</f>
        <v>1.9</v>
      </c>
      <c r="E225" s="2">
        <v>4.774</v>
      </c>
      <c r="F225" s="2">
        <v>2.41</v>
      </c>
      <c r="G225" s="2">
        <v>974</v>
      </c>
      <c r="H225" s="2">
        <v>2905.03</v>
      </c>
      <c r="I225" s="2">
        <v>5.7</v>
      </c>
      <c r="J225" s="2">
        <v>50.3</v>
      </c>
      <c r="K225" s="2">
        <f ca="1">IFERROR(__xludf.DUMMYFUNCTION("IF($A225="""","""", IFERROR(
  INDEX(
    FILTER(IMEX_VN!$B$2:$B$130, MONTH(IMEX_VN!$A$2:$A$130)=MONTH($A225), YEAR(IMEX_VN!$A$2:$A$130)=YEAR($A225)),
    1
  ),
""""))"),-0.600000000000001)</f>
        <v>-0.60000000000000098</v>
      </c>
      <c r="L225" s="6">
        <v>97</v>
      </c>
      <c r="M225" s="7">
        <v>63.9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8">
        <v>43576</v>
      </c>
      <c r="B226" s="9">
        <v>23285</v>
      </c>
      <c r="C226" s="2">
        <f ca="1">IFERROR(__xludf.DUMMYFUNCTION("IF($A226="""","""", IFERROR(
  INDEX(
    FILTER(CPI_VN!$C$2:$C$82, MONTH(CPI_VN!$A$2:$A$82)=MONTH($A226), YEAR(CPI_VN!$A$2:$A$82)=YEAR($A226)),
    1
  ),
""""))"),2.9)</f>
        <v>2.9</v>
      </c>
      <c r="D226" s="2">
        <f ca="1">IFERROR(__xludf.DUMMYFUNCTION("IF($A226="""","""", IFERROR(
  INDEX(
    FILTER(CPI_US!$D$2:$D$130, MONTH(CPI_US!$A$2:$A$130)=MONTH($A226), YEAR(CPI_US!$A$2:$A$130)=YEAR($A226)),
    1
  ),
""""))"),1.9)</f>
        <v>1.9</v>
      </c>
      <c r="E226" s="2">
        <v>4.7640000000000002</v>
      </c>
      <c r="F226" s="2">
        <v>2.44</v>
      </c>
      <c r="G226" s="2">
        <v>952</v>
      </c>
      <c r="H226" s="2">
        <v>2939.88</v>
      </c>
      <c r="I226" s="2">
        <v>5.7</v>
      </c>
      <c r="J226" s="2">
        <v>50.3</v>
      </c>
      <c r="K226" s="2">
        <f ca="1">IFERROR(__xludf.DUMMYFUNCTION("IF($A226="""","""", IFERROR(
  INDEX(
    FILTER(IMEX_VN!$B$2:$B$130, MONTH(IMEX_VN!$A$2:$A$130)=MONTH($A226), YEAR(IMEX_VN!$A$2:$A$130)=YEAR($A226)),
    1
  ),
""""))"),-0.600000000000001)</f>
        <v>-0.60000000000000098</v>
      </c>
      <c r="L226" s="6">
        <v>98</v>
      </c>
      <c r="M226" s="7">
        <v>63.9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8">
        <v>43583</v>
      </c>
      <c r="B227" s="9">
        <v>23249</v>
      </c>
      <c r="C227" s="2">
        <f ca="1">IFERROR(__xludf.DUMMYFUNCTION("IF($A227="""","""", IFERROR(
  INDEX(
    FILTER(CPI_VN!$C$2:$C$82, MONTH(CPI_VN!$A$2:$A$82)=MONTH($A227), YEAR(CPI_VN!$A$2:$A$82)=YEAR($A227)),
    1
  ),
""""))"),2.9)</f>
        <v>2.9</v>
      </c>
      <c r="D227" s="2">
        <f ca="1">IFERROR(__xludf.DUMMYFUNCTION("IF($A227="""","""", IFERROR(
  INDEX(
    FILTER(CPI_US!$D$2:$D$130, MONTH(CPI_US!$A$2:$A$130)=MONTH($A227), YEAR(CPI_US!$A$2:$A$130)=YEAR($A227)),
    1
  ),
""""))"),1.9)</f>
        <v>1.9</v>
      </c>
      <c r="E227" s="2">
        <v>4.7539999999999996</v>
      </c>
      <c r="F227" s="2">
        <v>2.44</v>
      </c>
      <c r="G227" s="2">
        <v>976</v>
      </c>
      <c r="H227" s="2">
        <v>2945.64</v>
      </c>
      <c r="I227" s="2">
        <v>5.7</v>
      </c>
      <c r="J227" s="2">
        <v>50.3</v>
      </c>
      <c r="K227" s="2">
        <f ca="1">IFERROR(__xludf.DUMMYFUNCTION("IF($A227="""","""", IFERROR(
  INDEX(
    FILTER(IMEX_VN!$B$2:$B$130, MONTH(IMEX_VN!$A$2:$A$130)=MONTH($A227), YEAR(IMEX_VN!$A$2:$A$130)=YEAR($A227)),
    1
  ),
""""))"),-0.600000000000001)</f>
        <v>-0.60000000000000098</v>
      </c>
      <c r="L227" s="6">
        <v>98</v>
      </c>
      <c r="M227" s="7">
        <v>63.9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8">
        <v>43590</v>
      </c>
      <c r="B228" s="9">
        <v>23345</v>
      </c>
      <c r="C228" s="2">
        <f ca="1">IFERROR(__xludf.DUMMYFUNCTION("IF($A228="""","""", IFERROR(
  INDEX(
    FILTER(CPI_VN!$C$2:$C$82, MONTH(CPI_VN!$A$2:$A$82)=MONTH($A228), YEAR(CPI_VN!$A$2:$A$82)=YEAR($A228)),
    1
  ),
""""))"),2.88)</f>
        <v>2.88</v>
      </c>
      <c r="D228" s="2">
        <f ca="1">IFERROR(__xludf.DUMMYFUNCTION("IF($A228="""","""", IFERROR(
  INDEX(
    FILTER(CPI_US!$D$2:$D$130, MONTH(CPI_US!$A$2:$A$130)=MONTH($A228), YEAR(CPI_US!$A$2:$A$130)=YEAR($A228)),
    1
  ),
""""))"),2)</f>
        <v>2</v>
      </c>
      <c r="E228" s="2">
        <v>4.7699999999999996</v>
      </c>
      <c r="F228" s="2">
        <v>2.4</v>
      </c>
      <c r="G228" s="2">
        <v>970</v>
      </c>
      <c r="H228" s="2">
        <v>2881.4</v>
      </c>
      <c r="I228" s="2">
        <v>7.3</v>
      </c>
      <c r="J228" s="2">
        <v>50.3</v>
      </c>
      <c r="K228" s="2">
        <f ca="1">IFERROR(__xludf.DUMMYFUNCTION("IF($A228="""","""", IFERROR(
  INDEX(
    FILTER(IMEX_VN!$B$2:$B$130, MONTH(IMEX_VN!$A$2:$A$130)=MONTH($A228), YEAR(IMEX_VN!$A$2:$A$130)=YEAR($A228)),
    1
  ),
""""))"),-1.3)</f>
        <v>-1.3</v>
      </c>
      <c r="L228" s="6">
        <v>97</v>
      </c>
      <c r="M228" s="7">
        <v>63.2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8">
        <v>43597</v>
      </c>
      <c r="B229" s="9">
        <v>23388</v>
      </c>
      <c r="C229" s="2">
        <f ca="1">IFERROR(__xludf.DUMMYFUNCTION("IF($A229="""","""", IFERROR(
  INDEX(
    FILTER(CPI_VN!$C$2:$C$82, MONTH(CPI_VN!$A$2:$A$82)=MONTH($A229), YEAR(CPI_VN!$A$2:$A$82)=YEAR($A229)),
    1
  ),
""""))"),2.88)</f>
        <v>2.88</v>
      </c>
      <c r="D229" s="2">
        <f ca="1">IFERROR(__xludf.DUMMYFUNCTION("IF($A229="""","""", IFERROR(
  INDEX(
    FILTER(CPI_US!$D$2:$D$130, MONTH(CPI_US!$A$2:$A$130)=MONTH($A229), YEAR(CPI_US!$A$2:$A$130)=YEAR($A229)),
    1
  ),
""""))"),2)</f>
        <v>2</v>
      </c>
      <c r="E229" s="2">
        <v>4.7430000000000003</v>
      </c>
      <c r="F229" s="2">
        <v>2.38</v>
      </c>
      <c r="G229" s="2">
        <v>959</v>
      </c>
      <c r="H229" s="2">
        <v>2859.53</v>
      </c>
      <c r="I229" s="2">
        <v>7.3</v>
      </c>
      <c r="J229" s="2">
        <v>50.3</v>
      </c>
      <c r="K229" s="2">
        <f ca="1">IFERROR(__xludf.DUMMYFUNCTION("IF($A229="""","""", IFERROR(
  INDEX(
    FILTER(IMEX_VN!$B$2:$B$130, MONTH(IMEX_VN!$A$2:$A$130)=MONTH($A229), YEAR(IMEX_VN!$A$2:$A$130)=YEAR($A229)),
    1
  ),
""""))"),-1.3)</f>
        <v>-1.3</v>
      </c>
      <c r="L229" s="6">
        <v>98</v>
      </c>
      <c r="M229" s="7">
        <v>63.2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8">
        <v>43604</v>
      </c>
      <c r="B230" s="9">
        <v>23380</v>
      </c>
      <c r="C230" s="2">
        <f ca="1">IFERROR(__xludf.DUMMYFUNCTION("IF($A230="""","""", IFERROR(
  INDEX(
    FILTER(CPI_VN!$C$2:$C$82, MONTH(CPI_VN!$A$2:$A$82)=MONTH($A230), YEAR(CPI_VN!$A$2:$A$82)=YEAR($A230)),
    1
  ),
""""))"),2.88)</f>
        <v>2.88</v>
      </c>
      <c r="D230" s="2">
        <f ca="1">IFERROR(__xludf.DUMMYFUNCTION("IF($A230="""","""", IFERROR(
  INDEX(
    FILTER(CPI_US!$D$2:$D$130, MONTH(CPI_US!$A$2:$A$130)=MONTH($A230), YEAR(CPI_US!$A$2:$A$130)=YEAR($A230)),
    1
  ),
""""))"),2)</f>
        <v>2</v>
      </c>
      <c r="E230" s="2">
        <v>4.7290000000000001</v>
      </c>
      <c r="F230" s="2">
        <v>2.39</v>
      </c>
      <c r="G230" s="2">
        <v>958</v>
      </c>
      <c r="H230" s="2">
        <v>2826.06</v>
      </c>
      <c r="I230" s="2">
        <v>7.3</v>
      </c>
      <c r="J230" s="2">
        <v>50.3</v>
      </c>
      <c r="K230" s="2">
        <f ca="1">IFERROR(__xludf.DUMMYFUNCTION("IF($A230="""","""", IFERROR(
  INDEX(
    FILTER(IMEX_VN!$B$2:$B$130, MONTH(IMEX_VN!$A$2:$A$130)=MONTH($A230), YEAR(IMEX_VN!$A$2:$A$130)=YEAR($A230)),
    1
  ),
""""))"),-1.3)</f>
        <v>-1.3</v>
      </c>
      <c r="L230" s="6">
        <v>98</v>
      </c>
      <c r="M230" s="7">
        <v>63.2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8">
        <v>43611</v>
      </c>
      <c r="B231" s="9">
        <v>23410</v>
      </c>
      <c r="C231" s="2">
        <f ca="1">IFERROR(__xludf.DUMMYFUNCTION("IF($A231="""","""", IFERROR(
  INDEX(
    FILTER(CPI_VN!$C$2:$C$82, MONTH(CPI_VN!$A$2:$A$82)=MONTH($A231), YEAR(CPI_VN!$A$2:$A$82)=YEAR($A231)),
    1
  ),
""""))"),2.88)</f>
        <v>2.88</v>
      </c>
      <c r="D231" s="2">
        <f ca="1">IFERROR(__xludf.DUMMYFUNCTION("IF($A231="""","""", IFERROR(
  INDEX(
    FILTER(CPI_US!$D$2:$D$130, MONTH(CPI_US!$A$2:$A$130)=MONTH($A231), YEAR(CPI_US!$A$2:$A$130)=YEAR($A231)),
    1
  ),
""""))"),2)</f>
        <v>2</v>
      </c>
      <c r="E231" s="2">
        <v>4.7009999999999996</v>
      </c>
      <c r="F231" s="2">
        <v>2.38</v>
      </c>
      <c r="G231" s="2">
        <v>953</v>
      </c>
      <c r="H231" s="2">
        <v>2752.06</v>
      </c>
      <c r="I231" s="2">
        <v>7.3</v>
      </c>
      <c r="J231" s="2">
        <v>50.3</v>
      </c>
      <c r="K231" s="2">
        <f ca="1">IFERROR(__xludf.DUMMYFUNCTION("IF($A231="""","""", IFERROR(
  INDEX(
    FILTER(IMEX_VN!$B$2:$B$130, MONTH(IMEX_VN!$A$2:$A$130)=MONTH($A231), YEAR(IMEX_VN!$A$2:$A$130)=YEAR($A231)),
    1
  ),
""""))"),-1.3)</f>
        <v>-1.3</v>
      </c>
      <c r="L231" s="6">
        <v>98</v>
      </c>
      <c r="M231" s="7">
        <v>63.2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8">
        <v>43618</v>
      </c>
      <c r="B232" s="9">
        <v>23395</v>
      </c>
      <c r="C232" s="2">
        <f ca="1">IFERROR(__xludf.DUMMYFUNCTION("IF($A232="""","""", IFERROR(
  INDEX(
    FILTER(CPI_VN!$C$2:$C$82, MONTH(CPI_VN!$A$2:$A$82)=MONTH($A232), YEAR(CPI_VN!$A$2:$A$82)=YEAR($A232)),
    1
  ),
""""))"),2.16)</f>
        <v>2.16</v>
      </c>
      <c r="D232" s="2">
        <f ca="1">IFERROR(__xludf.DUMMYFUNCTION("IF($A232="""","""", IFERROR(
  INDEX(
    FILTER(CPI_US!$D$2:$D$130, MONTH(CPI_US!$A$2:$A$130)=MONTH($A232), YEAR(CPI_US!$A$2:$A$130)=YEAR($A232)),
    1
  ),
""""))"),1.79999999999999)</f>
        <v>1.7999999999999901</v>
      </c>
      <c r="E232" s="2">
        <v>4.6589999999999998</v>
      </c>
      <c r="F232" s="2">
        <v>2.4</v>
      </c>
      <c r="G232" s="2">
        <v>959</v>
      </c>
      <c r="H232" s="2">
        <v>2873.34</v>
      </c>
      <c r="I232" s="2">
        <v>9.1</v>
      </c>
      <c r="J232" s="2">
        <v>50.3</v>
      </c>
      <c r="K232" s="2">
        <f ca="1">IFERROR(__xludf.DUMMYFUNCTION("IF($A232="""","""", IFERROR(
  INDEX(
    FILTER(IMEX_VN!$B$2:$B$130, MONTH(IMEX_VN!$A$2:$A$130)=MONTH($A232), YEAR(IMEX_VN!$A$2:$A$130)=YEAR($A232)),
    1
  ),
""""))"),1.89999999999999)</f>
        <v>1.8999999999999899</v>
      </c>
      <c r="L232" s="6">
        <v>97</v>
      </c>
      <c r="M232" s="7">
        <v>63.9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8">
        <v>43625</v>
      </c>
      <c r="B233" s="9">
        <v>23330</v>
      </c>
      <c r="C233" s="2">
        <f ca="1">IFERROR(__xludf.DUMMYFUNCTION("IF($A233="""","""", IFERROR(
  INDEX(
    FILTER(CPI_VN!$C$2:$C$82, MONTH(CPI_VN!$A$2:$A$82)=MONTH($A233), YEAR(CPI_VN!$A$2:$A$82)=YEAR($A233)),
    1
  ),
""""))"),2.16)</f>
        <v>2.16</v>
      </c>
      <c r="D233" s="2">
        <f ca="1">IFERROR(__xludf.DUMMYFUNCTION("IF($A233="""","""", IFERROR(
  INDEX(
    FILTER(CPI_US!$D$2:$D$130, MONTH(CPI_US!$A$2:$A$130)=MONTH($A233), YEAR(CPI_US!$A$2:$A$130)=YEAR($A233)),
    1
  ),
""""))"),1.79999999999999)</f>
        <v>1.7999999999999901</v>
      </c>
      <c r="E233" s="2">
        <v>4.6719999999999997</v>
      </c>
      <c r="F233" s="2">
        <v>2.37</v>
      </c>
      <c r="G233" s="2">
        <v>949</v>
      </c>
      <c r="H233" s="2">
        <v>2886.98</v>
      </c>
      <c r="I233" s="2">
        <v>9.1</v>
      </c>
      <c r="J233" s="2">
        <v>50.3</v>
      </c>
      <c r="K233" s="2">
        <f ca="1">IFERROR(__xludf.DUMMYFUNCTION("IF($A233="""","""", IFERROR(
  INDEX(
    FILTER(IMEX_VN!$B$2:$B$130, MONTH(IMEX_VN!$A$2:$A$130)=MONTH($A233), YEAR(IMEX_VN!$A$2:$A$130)=YEAR($A233)),
    1
  ),
""""))"),1.89999999999999)</f>
        <v>1.8999999999999899</v>
      </c>
      <c r="L233" s="6">
        <v>98</v>
      </c>
      <c r="M233" s="7">
        <v>63.9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8">
        <v>43632</v>
      </c>
      <c r="B234" s="9">
        <v>23280</v>
      </c>
      <c r="C234" s="2">
        <f ca="1">IFERROR(__xludf.DUMMYFUNCTION("IF($A234="""","""", IFERROR(
  INDEX(
    FILTER(CPI_VN!$C$2:$C$82, MONTH(CPI_VN!$A$2:$A$82)=MONTH($A234), YEAR(CPI_VN!$A$2:$A$82)=YEAR($A234)),
    1
  ),
""""))"),2.16)</f>
        <v>2.16</v>
      </c>
      <c r="D234" s="2">
        <f ca="1">IFERROR(__xludf.DUMMYFUNCTION("IF($A234="""","""", IFERROR(
  INDEX(
    FILTER(CPI_US!$D$2:$D$130, MONTH(CPI_US!$A$2:$A$130)=MONTH($A234), YEAR(CPI_US!$A$2:$A$130)=YEAR($A234)),
    1
  ),
""""))"),1.79999999999999)</f>
        <v>1.7999999999999901</v>
      </c>
      <c r="E234" s="2">
        <v>4.657</v>
      </c>
      <c r="F234" s="2">
        <v>2.36</v>
      </c>
      <c r="G234" s="2">
        <v>975</v>
      </c>
      <c r="H234" s="2">
        <v>2950.46</v>
      </c>
      <c r="I234" s="2">
        <v>9.1</v>
      </c>
      <c r="J234" s="2">
        <v>50.3</v>
      </c>
      <c r="K234" s="2">
        <f ca="1">IFERROR(__xludf.DUMMYFUNCTION("IF($A234="""","""", IFERROR(
  INDEX(
    FILTER(IMEX_VN!$B$2:$B$130, MONTH(IMEX_VN!$A$2:$A$130)=MONTH($A234), YEAR(IMEX_VN!$A$2:$A$130)=YEAR($A234)),
    1
  ),
""""))"),1.89999999999999)</f>
        <v>1.8999999999999899</v>
      </c>
      <c r="L234" s="6">
        <v>96</v>
      </c>
      <c r="M234" s="7">
        <v>63.9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8">
        <v>43639</v>
      </c>
      <c r="B235" s="9">
        <v>23300</v>
      </c>
      <c r="C235" s="2">
        <f ca="1">IFERROR(__xludf.DUMMYFUNCTION("IF($A235="""","""", IFERROR(
  INDEX(
    FILTER(CPI_VN!$C$2:$C$82, MONTH(CPI_VN!$A$2:$A$82)=MONTH($A235), YEAR(CPI_VN!$A$2:$A$82)=YEAR($A235)),
    1
  ),
""""))"),2.16)</f>
        <v>2.16</v>
      </c>
      <c r="D235" s="2">
        <f ca="1">IFERROR(__xludf.DUMMYFUNCTION("IF($A235="""","""", IFERROR(
  INDEX(
    FILTER(CPI_US!$D$2:$D$130, MONTH(CPI_US!$A$2:$A$130)=MONTH($A235), YEAR(CPI_US!$A$2:$A$130)=YEAR($A235)),
    1
  ),
""""))"),1.79999999999999)</f>
        <v>1.7999999999999901</v>
      </c>
      <c r="E235" s="2">
        <v>4.6539999999999999</v>
      </c>
      <c r="F235" s="2">
        <v>2.38</v>
      </c>
      <c r="G235" s="2">
        <v>975</v>
      </c>
      <c r="H235" s="2">
        <v>2941.76</v>
      </c>
      <c r="I235" s="2">
        <v>9.1</v>
      </c>
      <c r="J235" s="2">
        <v>50.3</v>
      </c>
      <c r="K235" s="2">
        <f ca="1">IFERROR(__xludf.DUMMYFUNCTION("IF($A235="""","""", IFERROR(
  INDEX(
    FILTER(IMEX_VN!$B$2:$B$130, MONTH(IMEX_VN!$A$2:$A$130)=MONTH($A235), YEAR(IMEX_VN!$A$2:$A$130)=YEAR($A235)),
    1
  ),
""""))"),1.89999999999999)</f>
        <v>1.8999999999999899</v>
      </c>
      <c r="L235" s="6">
        <v>96</v>
      </c>
      <c r="M235" s="7">
        <v>63.9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8">
        <v>43646</v>
      </c>
      <c r="B236" s="9">
        <v>23235</v>
      </c>
      <c r="C236" s="2">
        <f ca="1">IFERROR(__xludf.DUMMYFUNCTION("IF($A236="""","""", IFERROR(
  INDEX(
    FILTER(CPI_VN!$C$2:$C$82, MONTH(CPI_VN!$A$2:$A$82)=MONTH($A236), YEAR(CPI_VN!$A$2:$A$82)=YEAR($A236)),
    1
  ),
""""))"),2.16)</f>
        <v>2.16</v>
      </c>
      <c r="D236" s="2">
        <f ca="1">IFERROR(__xludf.DUMMYFUNCTION("IF($A236="""","""", IFERROR(
  INDEX(
    FILTER(CPI_US!$D$2:$D$130, MONTH(CPI_US!$A$2:$A$130)=MONTH($A236), YEAR(CPI_US!$A$2:$A$130)=YEAR($A236)),
    1
  ),
""""))"),1.79999999999999)</f>
        <v>1.7999999999999901</v>
      </c>
      <c r="E236" s="2">
        <v>4.6130000000000004</v>
      </c>
      <c r="F236" s="2">
        <v>2.4</v>
      </c>
      <c r="G236" s="2">
        <v>982</v>
      </c>
      <c r="H236" s="2">
        <v>2990.41</v>
      </c>
      <c r="I236" s="2">
        <v>9.1</v>
      </c>
      <c r="J236" s="2">
        <v>50.3</v>
      </c>
      <c r="K236" s="2">
        <f ca="1">IFERROR(__xludf.DUMMYFUNCTION("IF($A236="""","""", IFERROR(
  INDEX(
    FILTER(IMEX_VN!$B$2:$B$130, MONTH(IMEX_VN!$A$2:$A$130)=MONTH($A236), YEAR(IMEX_VN!$A$2:$A$130)=YEAR($A236)),
    1
  ),
""""))"),1.89999999999999)</f>
        <v>1.8999999999999899</v>
      </c>
      <c r="L236" s="6">
        <v>97</v>
      </c>
      <c r="M236" s="7">
        <v>63.9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8">
        <v>43653</v>
      </c>
      <c r="B237" s="9">
        <v>23200</v>
      </c>
      <c r="C237" s="2">
        <f ca="1">IFERROR(__xludf.DUMMYFUNCTION("IF($A237="""","""", IFERROR(
  INDEX(
    FILTER(CPI_VN!$C$2:$C$82, MONTH(CPI_VN!$A$2:$A$82)=MONTH($A237), YEAR(CPI_VN!$A$2:$A$82)=YEAR($A237)),
    1
  ),
""""))"),2.44)</f>
        <v>2.44</v>
      </c>
      <c r="D237" s="2">
        <f ca="1">IFERROR(__xludf.DUMMYFUNCTION("IF($A237="""","""", IFERROR(
  INDEX(
    FILTER(CPI_US!$D$2:$D$130, MONTH(CPI_US!$A$2:$A$130)=MONTH($A237), YEAR(CPI_US!$A$2:$A$130)=YEAR($A237)),
    1
  ),
""""))"),1.6)</f>
        <v>1.6</v>
      </c>
      <c r="E237" s="2">
        <v>4.556</v>
      </c>
      <c r="F237" s="2">
        <v>2.42</v>
      </c>
      <c r="G237" s="2">
        <v>993</v>
      </c>
      <c r="H237" s="2">
        <v>3013.77</v>
      </c>
      <c r="I237" s="2">
        <v>10.55</v>
      </c>
      <c r="J237" s="2">
        <v>28.3</v>
      </c>
      <c r="K237" s="2">
        <f ca="1">IFERROR(__xludf.DUMMYFUNCTION("IF($A237="""","""", IFERROR(
  INDEX(
    FILTER(IMEX_VN!$B$2:$B$130, MONTH(IMEX_VN!$A$2:$A$130)=MONTH($A237), YEAR(IMEX_VN!$A$2:$A$130)=YEAR($A237)),
    1
  ),
""""))"),0.100000000000001)</f>
        <v>0.100000000000001</v>
      </c>
      <c r="L237" s="6">
        <v>97</v>
      </c>
      <c r="M237" s="7">
        <v>64.400000000000006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8">
        <v>43660</v>
      </c>
      <c r="B238" s="9">
        <v>23244</v>
      </c>
      <c r="C238" s="2">
        <f ca="1">IFERROR(__xludf.DUMMYFUNCTION("IF($A238="""","""", IFERROR(
  INDEX(
    FILTER(CPI_VN!$C$2:$C$82, MONTH(CPI_VN!$A$2:$A$82)=MONTH($A238), YEAR(CPI_VN!$A$2:$A$82)=YEAR($A238)),
    1
  ),
""""))"),2.44)</f>
        <v>2.44</v>
      </c>
      <c r="D238" s="2">
        <f ca="1">IFERROR(__xludf.DUMMYFUNCTION("IF($A238="""","""", IFERROR(
  INDEX(
    FILTER(CPI_US!$D$2:$D$130, MONTH(CPI_US!$A$2:$A$130)=MONTH($A238), YEAR(CPI_US!$A$2:$A$130)=YEAR($A238)),
    1
  ),
""""))"),1.6)</f>
        <v>1.6</v>
      </c>
      <c r="E238" s="2">
        <v>4.4880000000000004</v>
      </c>
      <c r="F238" s="2">
        <v>2.38</v>
      </c>
      <c r="G238" s="2">
        <v>991</v>
      </c>
      <c r="H238" s="2">
        <v>2976.61</v>
      </c>
      <c r="I238" s="2">
        <v>10.55</v>
      </c>
      <c r="J238" s="2">
        <v>28.3</v>
      </c>
      <c r="K238" s="2">
        <f ca="1">IFERROR(__xludf.DUMMYFUNCTION("IF($A238="""","""", IFERROR(
  INDEX(
    FILTER(IMEX_VN!$B$2:$B$130, MONTH(IMEX_VN!$A$2:$A$130)=MONTH($A238), YEAR(IMEX_VN!$A$2:$A$130)=YEAR($A238)),
    1
  ),
""""))"),0.100000000000001)</f>
        <v>0.100000000000001</v>
      </c>
      <c r="L238" s="6">
        <v>97</v>
      </c>
      <c r="M238" s="7">
        <v>64.400000000000006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8">
        <v>43667</v>
      </c>
      <c r="B239" s="9">
        <v>23205</v>
      </c>
      <c r="C239" s="2">
        <f ca="1">IFERROR(__xludf.DUMMYFUNCTION("IF($A239="""","""", IFERROR(
  INDEX(
    FILTER(CPI_VN!$C$2:$C$82, MONTH(CPI_VN!$A$2:$A$82)=MONTH($A239), YEAR(CPI_VN!$A$2:$A$82)=YEAR($A239)),
    1
  ),
""""))"),2.44)</f>
        <v>2.44</v>
      </c>
      <c r="D239" s="2">
        <f ca="1">IFERROR(__xludf.DUMMYFUNCTION("IF($A239="""","""", IFERROR(
  INDEX(
    FILTER(CPI_US!$D$2:$D$130, MONTH(CPI_US!$A$2:$A$130)=MONTH($A239), YEAR(CPI_US!$A$2:$A$130)=YEAR($A239)),
    1
  ),
""""))"),1.6)</f>
        <v>1.6</v>
      </c>
      <c r="E239" s="2">
        <v>4.4459999999999997</v>
      </c>
      <c r="F239" s="2">
        <v>2.41</v>
      </c>
      <c r="G239" s="2">
        <v>974</v>
      </c>
      <c r="H239" s="2">
        <v>3025.86</v>
      </c>
      <c r="I239" s="2">
        <v>10.55</v>
      </c>
      <c r="J239" s="2">
        <v>28.3</v>
      </c>
      <c r="K239" s="2">
        <f ca="1">IFERROR(__xludf.DUMMYFUNCTION("IF($A239="""","""", IFERROR(
  INDEX(
    FILTER(IMEX_VN!$B$2:$B$130, MONTH(IMEX_VN!$A$2:$A$130)=MONTH($A239), YEAR(IMEX_VN!$A$2:$A$130)=YEAR($A239)),
    1
  ),
""""))"),0.100000000000001)</f>
        <v>0.100000000000001</v>
      </c>
      <c r="L239" s="6">
        <v>98</v>
      </c>
      <c r="M239" s="7">
        <v>64.400000000000006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8">
        <v>43674</v>
      </c>
      <c r="B240" s="9">
        <v>23215</v>
      </c>
      <c r="C240" s="2">
        <f ca="1">IFERROR(__xludf.DUMMYFUNCTION("IF($A240="""","""", IFERROR(
  INDEX(
    FILTER(CPI_VN!$C$2:$C$82, MONTH(CPI_VN!$A$2:$A$82)=MONTH($A240), YEAR(CPI_VN!$A$2:$A$82)=YEAR($A240)),
    1
  ),
""""))"),2.44)</f>
        <v>2.44</v>
      </c>
      <c r="D240" s="2">
        <f ca="1">IFERROR(__xludf.DUMMYFUNCTION("IF($A240="""","""", IFERROR(
  INDEX(
    FILTER(CPI_US!$D$2:$D$130, MONTH(CPI_US!$A$2:$A$130)=MONTH($A240), YEAR(CPI_US!$A$2:$A$130)=YEAR($A240)),
    1
  ),
""""))"),1.6)</f>
        <v>1.6</v>
      </c>
      <c r="E240" s="2">
        <v>4.4489999999999998</v>
      </c>
      <c r="F240" s="2">
        <v>2.4</v>
      </c>
      <c r="G240" s="2">
        <v>980</v>
      </c>
      <c r="H240" s="2">
        <v>2932.05</v>
      </c>
      <c r="I240" s="2">
        <v>10.55</v>
      </c>
      <c r="J240" s="2">
        <v>28.3</v>
      </c>
      <c r="K240" s="2">
        <f ca="1">IFERROR(__xludf.DUMMYFUNCTION("IF($A240="""","""", IFERROR(
  INDEX(
    FILTER(IMEX_VN!$B$2:$B$130, MONTH(IMEX_VN!$A$2:$A$130)=MONTH($A240), YEAR(IMEX_VN!$A$2:$A$130)=YEAR($A240)),
    1
  ),
""""))"),0.100000000000001)</f>
        <v>0.100000000000001</v>
      </c>
      <c r="L240" s="6">
        <v>98</v>
      </c>
      <c r="M240" s="7">
        <v>64.400000000000006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8">
        <v>43681</v>
      </c>
      <c r="B241" s="9">
        <v>23204</v>
      </c>
      <c r="C241" s="2">
        <f ca="1">IFERROR(__xludf.DUMMYFUNCTION("IF($A241="""","""", IFERROR(
  INDEX(
    FILTER(CPI_VN!$C$2:$C$82, MONTH(CPI_VN!$A$2:$A$82)=MONTH($A241), YEAR(CPI_VN!$A$2:$A$82)=YEAR($A241)),
    1
  ),
""""))"),2.26)</f>
        <v>2.2599999999999998</v>
      </c>
      <c r="D241" s="2">
        <f ca="1">IFERROR(__xludf.DUMMYFUNCTION("IF($A241="""","""", IFERROR(
  INDEX(
    FILTER(CPI_US!$D$2:$D$130, MONTH(CPI_US!$A$2:$A$130)=MONTH($A241), YEAR(CPI_US!$A$2:$A$130)=YEAR($A241)),
    1
  ),
""""))"),1.79999999999999)</f>
        <v>1.7999999999999901</v>
      </c>
      <c r="E241" s="2">
        <v>4.45</v>
      </c>
      <c r="F241" s="2">
        <v>2.14</v>
      </c>
      <c r="G241" s="2">
        <v>992</v>
      </c>
      <c r="H241" s="2">
        <v>2918.65</v>
      </c>
      <c r="I241" s="2">
        <v>11.96</v>
      </c>
      <c r="J241" s="2">
        <v>28.3</v>
      </c>
      <c r="K241" s="2">
        <f ca="1">IFERROR(__xludf.DUMMYFUNCTION("IF($A241="""","""", IFERROR(
  INDEX(
    FILTER(IMEX_VN!$B$2:$B$130, MONTH(IMEX_VN!$A$2:$A$130)=MONTH($A241), YEAR(IMEX_VN!$A$2:$A$130)=YEAR($A241)),
    1
  ),
""""))"),3.39999999999999)</f>
        <v>3.3999999999999901</v>
      </c>
      <c r="L241" s="6">
        <v>97</v>
      </c>
      <c r="M241" s="7">
        <v>66.400000000000006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8">
        <v>43688</v>
      </c>
      <c r="B242" s="9">
        <v>23211</v>
      </c>
      <c r="C242" s="2">
        <f ca="1">IFERROR(__xludf.DUMMYFUNCTION("IF($A242="""","""", IFERROR(
  INDEX(
    FILTER(CPI_VN!$C$2:$C$82, MONTH(CPI_VN!$A$2:$A$82)=MONTH($A242), YEAR(CPI_VN!$A$2:$A$82)=YEAR($A242)),
    1
  ),
""""))"),2.26)</f>
        <v>2.2599999999999998</v>
      </c>
      <c r="D242" s="2">
        <f ca="1">IFERROR(__xludf.DUMMYFUNCTION("IF($A242="""","""", IFERROR(
  INDEX(
    FILTER(CPI_US!$D$2:$D$130, MONTH(CPI_US!$A$2:$A$130)=MONTH($A242), YEAR(CPI_US!$A$2:$A$130)=YEAR($A242)),
    1
  ),
""""))"),1.79999999999999)</f>
        <v>1.7999999999999901</v>
      </c>
      <c r="E242" s="2">
        <v>4.26</v>
      </c>
      <c r="F242" s="2">
        <v>2.12</v>
      </c>
      <c r="G242" s="2">
        <v>984</v>
      </c>
      <c r="H242" s="2">
        <v>2888.68</v>
      </c>
      <c r="I242" s="2">
        <v>11.96</v>
      </c>
      <c r="J242" s="2">
        <v>28.3</v>
      </c>
      <c r="K242" s="2">
        <f ca="1">IFERROR(__xludf.DUMMYFUNCTION("IF($A242="""","""", IFERROR(
  INDEX(
    FILTER(IMEX_VN!$B$2:$B$130, MONTH(IMEX_VN!$A$2:$A$130)=MONTH($A242), YEAR(IMEX_VN!$A$2:$A$130)=YEAR($A242)),
    1
  ),
""""))"),3.39999999999999)</f>
        <v>3.3999999999999901</v>
      </c>
      <c r="L242" s="6">
        <v>98</v>
      </c>
      <c r="M242" s="7">
        <v>66.400000000000006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8">
        <v>43695</v>
      </c>
      <c r="B243" s="9">
        <v>23198</v>
      </c>
      <c r="C243" s="2">
        <f ca="1">IFERROR(__xludf.DUMMYFUNCTION("IF($A243="""","""", IFERROR(
  INDEX(
    FILTER(CPI_VN!$C$2:$C$82, MONTH(CPI_VN!$A$2:$A$82)=MONTH($A243), YEAR(CPI_VN!$A$2:$A$82)=YEAR($A243)),
    1
  ),
""""))"),2.26)</f>
        <v>2.2599999999999998</v>
      </c>
      <c r="D243" s="2">
        <f ca="1">IFERROR(__xludf.DUMMYFUNCTION("IF($A243="""","""", IFERROR(
  INDEX(
    FILTER(CPI_US!$D$2:$D$130, MONTH(CPI_US!$A$2:$A$130)=MONTH($A243), YEAR(CPI_US!$A$2:$A$130)=YEAR($A243)),
    1
  ),
""""))"),1.79999999999999)</f>
        <v>1.7999999999999901</v>
      </c>
      <c r="E243" s="2">
        <v>4.202</v>
      </c>
      <c r="F243" s="2">
        <v>2.13</v>
      </c>
      <c r="G243" s="2">
        <v>974</v>
      </c>
      <c r="H243" s="2">
        <v>2847.11</v>
      </c>
      <c r="I243" s="2">
        <v>11.96</v>
      </c>
      <c r="J243" s="2">
        <v>28.3</v>
      </c>
      <c r="K243" s="2">
        <f ca="1">IFERROR(__xludf.DUMMYFUNCTION("IF($A243="""","""", IFERROR(
  INDEX(
    FILTER(IMEX_VN!$B$2:$B$130, MONTH(IMEX_VN!$A$2:$A$130)=MONTH($A243), YEAR(IMEX_VN!$A$2:$A$130)=YEAR($A243)),
    1
  ),
""""))"),3.39999999999999)</f>
        <v>3.3999999999999901</v>
      </c>
      <c r="L243" s="6">
        <v>98</v>
      </c>
      <c r="M243" s="7">
        <v>66.400000000000006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8">
        <v>43702</v>
      </c>
      <c r="B244" s="9">
        <v>23185</v>
      </c>
      <c r="C244" s="2">
        <f ca="1">IFERROR(__xludf.DUMMYFUNCTION("IF($A244="""","""", IFERROR(
  INDEX(
    FILTER(CPI_VN!$C$2:$C$82, MONTH(CPI_VN!$A$2:$A$82)=MONTH($A244), YEAR(CPI_VN!$A$2:$A$82)=YEAR($A244)),
    1
  ),
""""))"),2.26)</f>
        <v>2.2599999999999998</v>
      </c>
      <c r="D244" s="2">
        <f ca="1">IFERROR(__xludf.DUMMYFUNCTION("IF($A244="""","""", IFERROR(
  INDEX(
    FILTER(CPI_US!$D$2:$D$130, MONTH(CPI_US!$A$2:$A$130)=MONTH($A244), YEAR(CPI_US!$A$2:$A$130)=YEAR($A244)),
    1
  ),
""""))"),1.79999999999999)</f>
        <v>1.7999999999999901</v>
      </c>
      <c r="E244" s="2">
        <v>4.1619999999999999</v>
      </c>
      <c r="F244" s="2">
        <v>2.12</v>
      </c>
      <c r="G244" s="2">
        <v>987</v>
      </c>
      <c r="H244" s="2">
        <v>2926.46</v>
      </c>
      <c r="I244" s="2">
        <v>11.96</v>
      </c>
      <c r="J244" s="2">
        <v>28.3</v>
      </c>
      <c r="K244" s="2">
        <f ca="1">IFERROR(__xludf.DUMMYFUNCTION("IF($A244="""","""", IFERROR(
  INDEX(
    FILTER(IMEX_VN!$B$2:$B$130, MONTH(IMEX_VN!$A$2:$A$130)=MONTH($A244), YEAR(IMEX_VN!$A$2:$A$130)=YEAR($A244)),
    1
  ),
""""))"),3.39999999999999)</f>
        <v>3.3999999999999901</v>
      </c>
      <c r="L244" s="6">
        <v>99</v>
      </c>
      <c r="M244" s="7">
        <v>66.400000000000006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8">
        <v>43709</v>
      </c>
      <c r="B245" s="9">
        <v>23198</v>
      </c>
      <c r="C245" s="2">
        <f ca="1">IFERROR(__xludf.DUMMYFUNCTION("IF($A245="""","""", IFERROR(
  INDEX(
    FILTER(CPI_VN!$C$2:$C$82, MONTH(CPI_VN!$A$2:$A$82)=MONTH($A245), YEAR(CPI_VN!$A$2:$A$82)=YEAR($A245)),
    1
  ),
""""))"),1.97999999999999)</f>
        <v>1.97999999999999</v>
      </c>
      <c r="D245" s="2">
        <f ca="1">IFERROR(__xludf.DUMMYFUNCTION("IF($A245="""","""", IFERROR(
  INDEX(
    FILTER(CPI_US!$D$2:$D$130, MONTH(CPI_US!$A$2:$A$130)=MONTH($A245), YEAR(CPI_US!$A$2:$A$130)=YEAR($A245)),
    1
  ),
""""))"),1.7)</f>
        <v>1.7</v>
      </c>
      <c r="E245" s="2">
        <v>4.0789999999999997</v>
      </c>
      <c r="F245" s="2">
        <v>2.13</v>
      </c>
      <c r="G245" s="2">
        <v>990</v>
      </c>
      <c r="H245" s="2">
        <v>2978.71</v>
      </c>
      <c r="I245" s="2">
        <v>14.22</v>
      </c>
      <c r="J245" s="2">
        <v>28.3</v>
      </c>
      <c r="K245" s="2">
        <f ca="1">IFERROR(__xludf.DUMMYFUNCTION("IF($A245="""","""", IFERROR(
  INDEX(
    FILTER(IMEX_VN!$B$2:$B$130, MONTH(IMEX_VN!$A$2:$A$130)=MONTH($A245), YEAR(IMEX_VN!$A$2:$A$130)=YEAR($A245)),
    1
  ),
""""))"),1.69999999999999)</f>
        <v>1.69999999999999</v>
      </c>
      <c r="L245" s="6">
        <v>98</v>
      </c>
      <c r="M245" s="7">
        <v>68.8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8">
        <v>43716</v>
      </c>
      <c r="B246" s="9">
        <v>23205</v>
      </c>
      <c r="C246" s="2">
        <f ca="1">IFERROR(__xludf.DUMMYFUNCTION("IF($A246="""","""", IFERROR(
  INDEX(
    FILTER(CPI_VN!$C$2:$C$82, MONTH(CPI_VN!$A$2:$A$82)=MONTH($A246), YEAR(CPI_VN!$A$2:$A$82)=YEAR($A246)),
    1
  ),
""""))"),1.97999999999999)</f>
        <v>1.97999999999999</v>
      </c>
      <c r="D246" s="2">
        <f ca="1">IFERROR(__xludf.DUMMYFUNCTION("IF($A246="""","""", IFERROR(
  INDEX(
    FILTER(CPI_US!$D$2:$D$130, MONTH(CPI_US!$A$2:$A$130)=MONTH($A246), YEAR(CPI_US!$A$2:$A$130)=YEAR($A246)),
    1
  ),
""""))"),1.7)</f>
        <v>1.7</v>
      </c>
      <c r="E246" s="2">
        <v>3.984</v>
      </c>
      <c r="F246" s="2">
        <v>2.12</v>
      </c>
      <c r="G246" s="2">
        <v>997</v>
      </c>
      <c r="H246" s="2">
        <v>3007.39</v>
      </c>
      <c r="I246" s="2">
        <v>14.22</v>
      </c>
      <c r="J246" s="2">
        <v>28.3</v>
      </c>
      <c r="K246" s="2">
        <f ca="1">IFERROR(__xludf.DUMMYFUNCTION("IF($A246="""","""", IFERROR(
  INDEX(
    FILTER(IMEX_VN!$B$2:$B$130, MONTH(IMEX_VN!$A$2:$A$130)=MONTH($A246), YEAR(IMEX_VN!$A$2:$A$130)=YEAR($A246)),
    1
  ),
""""))"),1.69999999999999)</f>
        <v>1.69999999999999</v>
      </c>
      <c r="L246" s="6">
        <v>98</v>
      </c>
      <c r="M246" s="7">
        <v>68.8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8">
        <v>43723</v>
      </c>
      <c r="B247" s="9">
        <v>23203</v>
      </c>
      <c r="C247" s="2">
        <f ca="1">IFERROR(__xludf.DUMMYFUNCTION("IF($A247="""","""", IFERROR(
  INDEX(
    FILTER(CPI_VN!$C$2:$C$82, MONTH(CPI_VN!$A$2:$A$82)=MONTH($A247), YEAR(CPI_VN!$A$2:$A$82)=YEAR($A247)),
    1
  ),
""""))"),1.97999999999999)</f>
        <v>1.97999999999999</v>
      </c>
      <c r="D247" s="2">
        <f ca="1">IFERROR(__xludf.DUMMYFUNCTION("IF($A247="""","""", IFERROR(
  INDEX(
    FILTER(CPI_US!$D$2:$D$130, MONTH(CPI_US!$A$2:$A$130)=MONTH($A247), YEAR(CPI_US!$A$2:$A$130)=YEAR($A247)),
    1
  ),
""""))"),1.7)</f>
        <v>1.7</v>
      </c>
      <c r="E247" s="2">
        <v>4.0069999999999997</v>
      </c>
      <c r="F247" s="2">
        <v>2.14</v>
      </c>
      <c r="G247" s="2">
        <v>987</v>
      </c>
      <c r="H247" s="2">
        <v>2992.07</v>
      </c>
      <c r="I247" s="2">
        <v>14.22</v>
      </c>
      <c r="J247" s="2">
        <v>28.3</v>
      </c>
      <c r="K247" s="2">
        <f ca="1">IFERROR(__xludf.DUMMYFUNCTION("IF($A247="""","""", IFERROR(
  INDEX(
    FILTER(IMEX_VN!$B$2:$B$130, MONTH(IMEX_VN!$A$2:$A$130)=MONTH($A247), YEAR(IMEX_VN!$A$2:$A$130)=YEAR($A247)),
    1
  ),
""""))"),1.69999999999999)</f>
        <v>1.69999999999999</v>
      </c>
      <c r="L247" s="6">
        <v>99</v>
      </c>
      <c r="M247" s="7">
        <v>68.8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8">
        <v>43730</v>
      </c>
      <c r="B248" s="9">
        <v>23200</v>
      </c>
      <c r="C248" s="2">
        <f ca="1">IFERROR(__xludf.DUMMYFUNCTION("IF($A248="""","""", IFERROR(
  INDEX(
    FILTER(CPI_VN!$C$2:$C$82, MONTH(CPI_VN!$A$2:$A$82)=MONTH($A248), YEAR(CPI_VN!$A$2:$A$82)=YEAR($A248)),
    1
  ),
""""))"),1.97999999999999)</f>
        <v>1.97999999999999</v>
      </c>
      <c r="D248" s="2">
        <f ca="1">IFERROR(__xludf.DUMMYFUNCTION("IF($A248="""","""", IFERROR(
  INDEX(
    FILTER(CPI_US!$D$2:$D$130, MONTH(CPI_US!$A$2:$A$130)=MONTH($A248), YEAR(CPI_US!$A$2:$A$130)=YEAR($A248)),
    1
  ),
""""))"),1.7)</f>
        <v>1.7</v>
      </c>
      <c r="E248" s="2">
        <v>4.05</v>
      </c>
      <c r="F248" s="2">
        <v>1.9</v>
      </c>
      <c r="G248" s="2">
        <v>991</v>
      </c>
      <c r="H248" s="2">
        <v>2961.79</v>
      </c>
      <c r="I248" s="2">
        <v>14.22</v>
      </c>
      <c r="J248" s="2">
        <v>28.3</v>
      </c>
      <c r="K248" s="2">
        <f ca="1">IFERROR(__xludf.DUMMYFUNCTION("IF($A248="""","""", IFERROR(
  INDEX(
    FILTER(IMEX_VN!$B$2:$B$130, MONTH(IMEX_VN!$A$2:$A$130)=MONTH($A248), YEAR(IMEX_VN!$A$2:$A$130)=YEAR($A248)),
    1
  ),
""""))"),1.69999999999999)</f>
        <v>1.69999999999999</v>
      </c>
      <c r="L248" s="6">
        <v>99</v>
      </c>
      <c r="M248" s="7">
        <v>68.8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8">
        <v>43737</v>
      </c>
      <c r="B249" s="9">
        <v>23200</v>
      </c>
      <c r="C249" s="2">
        <f ca="1">IFERROR(__xludf.DUMMYFUNCTION("IF($A249="""","""", IFERROR(
  INDEX(
    FILTER(CPI_VN!$C$2:$C$82, MONTH(CPI_VN!$A$2:$A$82)=MONTH($A249), YEAR(CPI_VN!$A$2:$A$82)=YEAR($A249)),
    1
  ),
""""))"),1.97999999999999)</f>
        <v>1.97999999999999</v>
      </c>
      <c r="D249" s="2">
        <f ca="1">IFERROR(__xludf.DUMMYFUNCTION("IF($A249="""","""", IFERROR(
  INDEX(
    FILTER(CPI_US!$D$2:$D$130, MONTH(CPI_US!$A$2:$A$130)=MONTH($A249), YEAR(CPI_US!$A$2:$A$130)=YEAR($A249)),
    1
  ),
""""))"),1.7)</f>
        <v>1.7</v>
      </c>
      <c r="E249" s="2">
        <v>3.9990000000000001</v>
      </c>
      <c r="F249" s="2">
        <v>1.83</v>
      </c>
      <c r="G249" s="2">
        <v>989</v>
      </c>
      <c r="H249" s="2">
        <v>2952.01</v>
      </c>
      <c r="I249" s="2">
        <v>14.22</v>
      </c>
      <c r="J249" s="2">
        <v>28.3</v>
      </c>
      <c r="K249" s="2">
        <f ca="1">IFERROR(__xludf.DUMMYFUNCTION("IF($A249="""","""", IFERROR(
  INDEX(
    FILTER(IMEX_VN!$B$2:$B$130, MONTH(IMEX_VN!$A$2:$A$130)=MONTH($A249), YEAR(IMEX_VN!$A$2:$A$130)=YEAR($A249)),
    1
  ),
""""))"),1.69999999999999)</f>
        <v>1.69999999999999</v>
      </c>
      <c r="L249" s="6">
        <v>99</v>
      </c>
      <c r="M249" s="7">
        <v>68.8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8">
        <v>43744</v>
      </c>
      <c r="B250" s="9">
        <v>23200</v>
      </c>
      <c r="C250" s="2">
        <f ca="1">IFERROR(__xludf.DUMMYFUNCTION("IF($A250="""","""", IFERROR(
  INDEX(
    FILTER(CPI_VN!$C$2:$C$82, MONTH(CPI_VN!$A$2:$A$82)=MONTH($A250), YEAR(CPI_VN!$A$2:$A$82)=YEAR($A250)),
    1
  ),
""""))"),2.24)</f>
        <v>2.2400000000000002</v>
      </c>
      <c r="D250" s="2">
        <f ca="1">IFERROR(__xludf.DUMMYFUNCTION("IF($A250="""","""", IFERROR(
  INDEX(
    FILTER(CPI_US!$D$2:$D$130, MONTH(CPI_US!$A$2:$A$130)=MONTH($A250), YEAR(CPI_US!$A$2:$A$130)=YEAR($A250)),
    1
  ),
""""))"),1.7)</f>
        <v>1.7</v>
      </c>
      <c r="E250" s="2">
        <v>3.919</v>
      </c>
      <c r="F250" s="2">
        <v>1.82</v>
      </c>
      <c r="G250" s="2">
        <v>996</v>
      </c>
      <c r="H250" s="2">
        <v>2970.27</v>
      </c>
      <c r="I250" s="2">
        <v>16.21</v>
      </c>
      <c r="J250" s="2">
        <v>52.1</v>
      </c>
      <c r="K250" s="2">
        <f ca="1">IFERROR(__xludf.DUMMYFUNCTION("IF($A250="""","""", IFERROR(
  INDEX(
    FILTER(IMEX_VN!$B$2:$B$130, MONTH(IMEX_VN!$A$2:$A$130)=MONTH($A250), YEAR(IMEX_VN!$A$2:$A$130)=YEAR($A250)),
    1
  ),
""""))"),1.8)</f>
        <v>1.8</v>
      </c>
      <c r="L250" s="6">
        <v>98</v>
      </c>
      <c r="M250" s="7">
        <v>70.099999999999994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8">
        <v>43751</v>
      </c>
      <c r="B251" s="9">
        <v>23203</v>
      </c>
      <c r="C251" s="2">
        <f ca="1">IFERROR(__xludf.DUMMYFUNCTION("IF($A251="""","""", IFERROR(
  INDEX(
    FILTER(CPI_VN!$C$2:$C$82, MONTH(CPI_VN!$A$2:$A$82)=MONTH($A251), YEAR(CPI_VN!$A$2:$A$82)=YEAR($A251)),
    1
  ),
""""))"),2.24)</f>
        <v>2.2400000000000002</v>
      </c>
      <c r="D251" s="2">
        <f ca="1">IFERROR(__xludf.DUMMYFUNCTION("IF($A251="""","""", IFERROR(
  INDEX(
    FILTER(CPI_US!$D$2:$D$130, MONTH(CPI_US!$A$2:$A$130)=MONTH($A251), YEAR(CPI_US!$A$2:$A$130)=YEAR($A251)),
    1
  ),
""""))"),1.7)</f>
        <v>1.7</v>
      </c>
      <c r="E251" s="2">
        <v>3.6829999999999998</v>
      </c>
      <c r="F251" s="2">
        <v>1.82</v>
      </c>
      <c r="G251" s="2">
        <v>1015</v>
      </c>
      <c r="H251" s="2">
        <v>2986.2</v>
      </c>
      <c r="I251" s="2">
        <v>16.21</v>
      </c>
      <c r="J251" s="2">
        <v>52.1</v>
      </c>
      <c r="K251" s="2">
        <f ca="1">IFERROR(__xludf.DUMMYFUNCTION("IF($A251="""","""", IFERROR(
  INDEX(
    FILTER(IMEX_VN!$B$2:$B$130, MONTH(IMEX_VN!$A$2:$A$130)=MONTH($A251), YEAR(IMEX_VN!$A$2:$A$130)=YEAR($A251)),
    1
  ),
""""))"),1.8)</f>
        <v>1.8</v>
      </c>
      <c r="L251" s="6">
        <v>97</v>
      </c>
      <c r="M251" s="7">
        <v>70.099999999999994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8">
        <v>43758</v>
      </c>
      <c r="B252" s="9">
        <v>23200</v>
      </c>
      <c r="C252" s="2">
        <f ca="1">IFERROR(__xludf.DUMMYFUNCTION("IF($A252="""","""", IFERROR(
  INDEX(
    FILTER(CPI_VN!$C$2:$C$82, MONTH(CPI_VN!$A$2:$A$82)=MONTH($A252), YEAR(CPI_VN!$A$2:$A$82)=YEAR($A252)),
    1
  ),
""""))"),2.24)</f>
        <v>2.2400000000000002</v>
      </c>
      <c r="D252" s="2">
        <f ca="1">IFERROR(__xludf.DUMMYFUNCTION("IF($A252="""","""", IFERROR(
  INDEX(
    FILTER(CPI_US!$D$2:$D$130, MONTH(CPI_US!$A$2:$A$130)=MONTH($A252), YEAR(CPI_US!$A$2:$A$130)=YEAR($A252)),
    1
  ),
""""))"),1.7)</f>
        <v>1.7</v>
      </c>
      <c r="E252" s="2">
        <v>3.6880000000000002</v>
      </c>
      <c r="F252" s="2">
        <v>1.85</v>
      </c>
      <c r="G252" s="2">
        <v>1022</v>
      </c>
      <c r="H252" s="2">
        <v>3022.55</v>
      </c>
      <c r="I252" s="2">
        <v>16.21</v>
      </c>
      <c r="J252" s="2">
        <v>52.1</v>
      </c>
      <c r="K252" s="2">
        <f ca="1">IFERROR(__xludf.DUMMYFUNCTION("IF($A252="""","""", IFERROR(
  INDEX(
    FILTER(IMEX_VN!$B$2:$B$130, MONTH(IMEX_VN!$A$2:$A$130)=MONTH($A252), YEAR(IMEX_VN!$A$2:$A$130)=YEAR($A252)),
    1
  ),
""""))"),1.8)</f>
        <v>1.8</v>
      </c>
      <c r="L252" s="6">
        <v>98</v>
      </c>
      <c r="M252" s="7">
        <v>70.099999999999994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8">
        <v>43765</v>
      </c>
      <c r="B253" s="9">
        <v>23200</v>
      </c>
      <c r="C253" s="2">
        <f ca="1">IFERROR(__xludf.DUMMYFUNCTION("IF($A253="""","""", IFERROR(
  INDEX(
    FILTER(CPI_VN!$C$2:$C$82, MONTH(CPI_VN!$A$2:$A$82)=MONTH($A253), YEAR(CPI_VN!$A$2:$A$82)=YEAR($A253)),
    1
  ),
""""))"),2.24)</f>
        <v>2.2400000000000002</v>
      </c>
      <c r="D253" s="2">
        <f ca="1">IFERROR(__xludf.DUMMYFUNCTION("IF($A253="""","""", IFERROR(
  INDEX(
    FILTER(CPI_US!$D$2:$D$130, MONTH(CPI_US!$A$2:$A$130)=MONTH($A253), YEAR(CPI_US!$A$2:$A$130)=YEAR($A253)),
    1
  ),
""""))"),1.7)</f>
        <v>1.7</v>
      </c>
      <c r="E253" s="2">
        <v>3.6589999999999998</v>
      </c>
      <c r="F253" s="2">
        <v>1.83</v>
      </c>
      <c r="G253" s="2">
        <v>1010</v>
      </c>
      <c r="H253" s="2">
        <v>3066.91</v>
      </c>
      <c r="I253" s="2">
        <v>16.21</v>
      </c>
      <c r="J253" s="2">
        <v>52.1</v>
      </c>
      <c r="K253" s="2">
        <f ca="1">IFERROR(__xludf.DUMMYFUNCTION("IF($A253="""","""", IFERROR(
  INDEX(
    FILTER(IMEX_VN!$B$2:$B$130, MONTH(IMEX_VN!$A$2:$A$130)=MONTH($A253), YEAR(IMEX_VN!$A$2:$A$130)=YEAR($A253)),
    1
  ),
""""))"),1.8)</f>
        <v>1.8</v>
      </c>
      <c r="L253" s="6">
        <v>97</v>
      </c>
      <c r="M253" s="7">
        <v>70.099999999999994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8">
        <v>43772</v>
      </c>
      <c r="B254" s="9">
        <v>23198</v>
      </c>
      <c r="C254" s="2">
        <f ca="1">IFERROR(__xludf.DUMMYFUNCTION("IF($A254="""","""", IFERROR(
  INDEX(
    FILTER(CPI_VN!$C$2:$C$82, MONTH(CPI_VN!$A$2:$A$82)=MONTH($A254), YEAR(CPI_VN!$A$2:$A$82)=YEAR($A254)),
    1
  ),
""""))"),3.52)</f>
        <v>3.52</v>
      </c>
      <c r="D254" s="2">
        <f ca="1">IFERROR(__xludf.DUMMYFUNCTION("IF($A254="""","""", IFERROR(
  INDEX(
    FILTER(CPI_US!$D$2:$D$130, MONTH(CPI_US!$A$2:$A$130)=MONTH($A254), YEAR(CPI_US!$A$2:$A$130)=YEAR($A254)),
    1
  ),
""""))"),1.79999999999999)</f>
        <v>1.7999999999999901</v>
      </c>
      <c r="E254" s="2">
        <v>3.7280000000000002</v>
      </c>
      <c r="F254" s="2">
        <v>1.57</v>
      </c>
      <c r="G254" s="2">
        <v>977</v>
      </c>
      <c r="H254" s="2">
        <v>3093.08</v>
      </c>
      <c r="I254" s="2">
        <v>17.62</v>
      </c>
      <c r="J254" s="2">
        <v>52.1</v>
      </c>
      <c r="K254" s="2">
        <f ca="1">IFERROR(__xludf.DUMMYFUNCTION("IF($A254="""","""", IFERROR(
  INDEX(
    FILTER(IMEX_VN!$B$2:$B$130, MONTH(IMEX_VN!$A$2:$A$130)=MONTH($A254), YEAR(IMEX_VN!$A$2:$A$130)=YEAR($A254)),
    1
  ),
""""))"),1.5)</f>
        <v>1.5</v>
      </c>
      <c r="L254" s="6">
        <v>98</v>
      </c>
      <c r="M254" s="7">
        <v>73.5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8">
        <v>43779</v>
      </c>
      <c r="B255" s="9">
        <v>23204</v>
      </c>
      <c r="C255" s="2">
        <f ca="1">IFERROR(__xludf.DUMMYFUNCTION("IF($A255="""","""", IFERROR(
  INDEX(
    FILTER(CPI_VN!$C$2:$C$82, MONTH(CPI_VN!$A$2:$A$82)=MONTH($A255), YEAR(CPI_VN!$A$2:$A$82)=YEAR($A255)),
    1
  ),
""""))"),3.52)</f>
        <v>3.52</v>
      </c>
      <c r="D255" s="2">
        <f ca="1">IFERROR(__xludf.DUMMYFUNCTION("IF($A255="""","""", IFERROR(
  INDEX(
    FILTER(CPI_US!$D$2:$D$130, MONTH(CPI_US!$A$2:$A$130)=MONTH($A255), YEAR(CPI_US!$A$2:$A$130)=YEAR($A255)),
    1
  ),
""""))"),1.79999999999999)</f>
        <v>1.7999999999999901</v>
      </c>
      <c r="E255" s="2">
        <v>3.7120000000000002</v>
      </c>
      <c r="F255" s="2">
        <v>1.55</v>
      </c>
      <c r="G255" s="2">
        <v>970</v>
      </c>
      <c r="H255" s="2">
        <v>3120.46</v>
      </c>
      <c r="I255" s="2">
        <v>17.62</v>
      </c>
      <c r="J255" s="2">
        <v>52.1</v>
      </c>
      <c r="K255" s="2">
        <f ca="1">IFERROR(__xludf.DUMMYFUNCTION("IF($A255="""","""", IFERROR(
  INDEX(
    FILTER(IMEX_VN!$B$2:$B$130, MONTH(IMEX_VN!$A$2:$A$130)=MONTH($A255), YEAR(IMEX_VN!$A$2:$A$130)=YEAR($A255)),
    1
  ),
""""))"),1.5)</f>
        <v>1.5</v>
      </c>
      <c r="L255" s="6">
        <v>98</v>
      </c>
      <c r="M255" s="7">
        <v>73.5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8">
        <v>43786</v>
      </c>
      <c r="B256" s="9">
        <v>23195</v>
      </c>
      <c r="C256" s="2">
        <f ca="1">IFERROR(__xludf.DUMMYFUNCTION("IF($A256="""","""", IFERROR(
  INDEX(
    FILTER(CPI_VN!$C$2:$C$82, MONTH(CPI_VN!$A$2:$A$82)=MONTH($A256), YEAR(CPI_VN!$A$2:$A$82)=YEAR($A256)),
    1
  ),
""""))"),3.52)</f>
        <v>3.52</v>
      </c>
      <c r="D256" s="2">
        <f ca="1">IFERROR(__xludf.DUMMYFUNCTION("IF($A256="""","""", IFERROR(
  INDEX(
    FILTER(CPI_US!$D$2:$D$130, MONTH(CPI_US!$A$2:$A$130)=MONTH($A256), YEAR(CPI_US!$A$2:$A$130)=YEAR($A256)),
    1
  ),
""""))"),1.79999999999999)</f>
        <v>1.7999999999999901</v>
      </c>
      <c r="E256" s="2">
        <v>3.6829999999999998</v>
      </c>
      <c r="F256" s="2">
        <v>1.55</v>
      </c>
      <c r="G256" s="2">
        <v>963</v>
      </c>
      <c r="H256" s="2">
        <v>3110.29</v>
      </c>
      <c r="I256" s="2">
        <v>17.62</v>
      </c>
      <c r="J256" s="2">
        <v>52.1</v>
      </c>
      <c r="K256" s="2">
        <f ca="1">IFERROR(__xludf.DUMMYFUNCTION("IF($A256="""","""", IFERROR(
  INDEX(
    FILTER(IMEX_VN!$B$2:$B$130, MONTH(IMEX_VN!$A$2:$A$130)=MONTH($A256), YEAR(IMEX_VN!$A$2:$A$130)=YEAR($A256)),
    1
  ),
""""))"),1.5)</f>
        <v>1.5</v>
      </c>
      <c r="L256" s="6">
        <v>98</v>
      </c>
      <c r="M256" s="7">
        <v>73.5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8">
        <v>43793</v>
      </c>
      <c r="B257" s="9">
        <v>23179</v>
      </c>
      <c r="C257" s="2">
        <f ca="1">IFERROR(__xludf.DUMMYFUNCTION("IF($A257="""","""", IFERROR(
  INDEX(
    FILTER(CPI_VN!$C$2:$C$82, MONTH(CPI_VN!$A$2:$A$82)=MONTH($A257), YEAR(CPI_VN!$A$2:$A$82)=YEAR($A257)),
    1
  ),
""""))"),3.52)</f>
        <v>3.52</v>
      </c>
      <c r="D257" s="2">
        <f ca="1">IFERROR(__xludf.DUMMYFUNCTION("IF($A257="""","""", IFERROR(
  INDEX(
    FILTER(CPI_US!$D$2:$D$130, MONTH(CPI_US!$A$2:$A$130)=MONTH($A257), YEAR(CPI_US!$A$2:$A$130)=YEAR($A257)),
    1
  ),
""""))"),1.79999999999999)</f>
        <v>1.7999999999999901</v>
      </c>
      <c r="E257" s="2">
        <v>3.5680000000000001</v>
      </c>
      <c r="F257" s="2">
        <v>1.55</v>
      </c>
      <c r="G257" s="2">
        <v>966</v>
      </c>
      <c r="H257" s="2">
        <v>3140.98</v>
      </c>
      <c r="I257" s="2">
        <v>17.62</v>
      </c>
      <c r="J257" s="2">
        <v>52.1</v>
      </c>
      <c r="K257" s="2">
        <f ca="1">IFERROR(__xludf.DUMMYFUNCTION("IF($A257="""","""", IFERROR(
  INDEX(
    FILTER(IMEX_VN!$B$2:$B$130, MONTH(IMEX_VN!$A$2:$A$130)=MONTH($A257), YEAR(IMEX_VN!$A$2:$A$130)=YEAR($A257)),
    1
  ),
""""))"),1.5)</f>
        <v>1.5</v>
      </c>
      <c r="L257" s="6">
        <v>98</v>
      </c>
      <c r="M257" s="7">
        <v>73.5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8">
        <v>43800</v>
      </c>
      <c r="B258" s="9">
        <v>23175</v>
      </c>
      <c r="C258" s="2">
        <f ca="1">IFERROR(__xludf.DUMMYFUNCTION("IF($A258="""","""", IFERROR(
  INDEX(
    FILTER(CPI_VN!$C$2:$C$82, MONTH(CPI_VN!$A$2:$A$82)=MONTH($A258), YEAR(CPI_VN!$A$2:$A$82)=YEAR($A258)),
    1
  ),
""""))"),5.23)</f>
        <v>5.23</v>
      </c>
      <c r="D258" s="2">
        <f ca="1">IFERROR(__xludf.DUMMYFUNCTION("IF($A258="""","""", IFERROR(
  INDEX(
    FILTER(CPI_US!$D$2:$D$130, MONTH(CPI_US!$A$2:$A$130)=MONTH($A258), YEAR(CPI_US!$A$2:$A$130)=YEAR($A258)),
    1
  ),
""""))"),2.1)</f>
        <v>2.1</v>
      </c>
      <c r="E258" s="2">
        <v>3.5030000000000001</v>
      </c>
      <c r="F258" s="2">
        <v>1.56</v>
      </c>
      <c r="G258" s="2">
        <v>956</v>
      </c>
      <c r="H258" s="2">
        <v>3145.91</v>
      </c>
      <c r="I258" s="2">
        <v>20.38</v>
      </c>
      <c r="J258" s="2">
        <v>52.1</v>
      </c>
      <c r="K258" s="2">
        <f ca="1">IFERROR(__xludf.DUMMYFUNCTION("IF($A258="""","""", IFERROR(
  INDEX(
    FILTER(IMEX_VN!$B$2:$B$130, MONTH(IMEX_VN!$A$2:$A$130)=MONTH($A258), YEAR(IMEX_VN!$A$2:$A$130)=YEAR($A258)),
    1
  ),
""""))"),0.3)</f>
        <v>0.3</v>
      </c>
      <c r="L258" s="6">
        <v>98</v>
      </c>
      <c r="M258" s="7">
        <v>78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8">
        <v>43807</v>
      </c>
      <c r="B259" s="9">
        <v>23173</v>
      </c>
      <c r="C259" s="2">
        <f ca="1">IFERROR(__xludf.DUMMYFUNCTION("IF($A259="""","""", IFERROR(
  INDEX(
    FILTER(CPI_VN!$C$2:$C$82, MONTH(CPI_VN!$A$2:$A$82)=MONTH($A259), YEAR(CPI_VN!$A$2:$A$82)=YEAR($A259)),
    1
  ),
""""))"),5.23)</f>
        <v>5.23</v>
      </c>
      <c r="D259" s="2">
        <f ca="1">IFERROR(__xludf.DUMMYFUNCTION("IF($A259="""","""", IFERROR(
  INDEX(
    FILTER(CPI_US!$D$2:$D$130, MONTH(CPI_US!$A$2:$A$130)=MONTH($A259), YEAR(CPI_US!$A$2:$A$130)=YEAR($A259)),
    1
  ),
""""))"),2.1)</f>
        <v>2.1</v>
      </c>
      <c r="E259" s="2">
        <v>3.5059999999999998</v>
      </c>
      <c r="F259" s="2">
        <v>1.55</v>
      </c>
      <c r="G259" s="2">
        <v>963</v>
      </c>
      <c r="H259" s="2">
        <v>3168.8</v>
      </c>
      <c r="I259" s="2">
        <v>20.38</v>
      </c>
      <c r="J259" s="2">
        <v>52.1</v>
      </c>
      <c r="K259" s="2">
        <f ca="1">IFERROR(__xludf.DUMMYFUNCTION("IF($A259="""","""", IFERROR(
  INDEX(
    FILTER(IMEX_VN!$B$2:$B$130, MONTH(IMEX_VN!$A$2:$A$130)=MONTH($A259), YEAR(IMEX_VN!$A$2:$A$130)=YEAR($A259)),
    1
  ),
""""))"),0.3)</f>
        <v>0.3</v>
      </c>
      <c r="L259" s="6">
        <v>97</v>
      </c>
      <c r="M259" s="7">
        <v>78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8">
        <v>43814</v>
      </c>
      <c r="B260" s="9">
        <v>23175</v>
      </c>
      <c r="C260" s="2">
        <f ca="1">IFERROR(__xludf.DUMMYFUNCTION("IF($A260="""","""", IFERROR(
  INDEX(
    FILTER(CPI_VN!$C$2:$C$82, MONTH(CPI_VN!$A$2:$A$82)=MONTH($A260), YEAR(CPI_VN!$A$2:$A$82)=YEAR($A260)),
    1
  ),
""""))"),5.23)</f>
        <v>5.23</v>
      </c>
      <c r="D260" s="2">
        <f ca="1">IFERROR(__xludf.DUMMYFUNCTION("IF($A260="""","""", IFERROR(
  INDEX(
    FILTER(CPI_US!$D$2:$D$130, MONTH(CPI_US!$A$2:$A$130)=MONTH($A260), YEAR(CPI_US!$A$2:$A$130)=YEAR($A260)),
    1
  ),
""""))"),2.1)</f>
        <v>2.1</v>
      </c>
      <c r="E260" s="2">
        <v>3.4889999999999999</v>
      </c>
      <c r="F260" s="2">
        <v>1.55</v>
      </c>
      <c r="G260" s="2">
        <v>965</v>
      </c>
      <c r="H260" s="2">
        <v>3221.22</v>
      </c>
      <c r="I260" s="2">
        <v>20.38</v>
      </c>
      <c r="J260" s="2">
        <v>52.1</v>
      </c>
      <c r="K260" s="2">
        <f ca="1">IFERROR(__xludf.DUMMYFUNCTION("IF($A260="""","""", IFERROR(
  INDEX(
    FILTER(IMEX_VN!$B$2:$B$130, MONTH(IMEX_VN!$A$2:$A$130)=MONTH($A260), YEAR(IMEX_VN!$A$2:$A$130)=YEAR($A260)),
    1
  ),
""""))"),0.3)</f>
        <v>0.3</v>
      </c>
      <c r="L260" s="6">
        <v>98</v>
      </c>
      <c r="M260" s="7">
        <v>78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8">
        <v>43821</v>
      </c>
      <c r="B261" s="9">
        <v>23171</v>
      </c>
      <c r="C261" s="2">
        <f ca="1">IFERROR(__xludf.DUMMYFUNCTION("IF($A261="""","""", IFERROR(
  INDEX(
    FILTER(CPI_VN!$C$2:$C$82, MONTH(CPI_VN!$A$2:$A$82)=MONTH($A261), YEAR(CPI_VN!$A$2:$A$82)=YEAR($A261)),
    1
  ),
""""))"),5.23)</f>
        <v>5.23</v>
      </c>
      <c r="D261" s="2">
        <f ca="1">IFERROR(__xludf.DUMMYFUNCTION("IF($A261="""","""", IFERROR(
  INDEX(
    FILTER(CPI_US!$D$2:$D$130, MONTH(CPI_US!$A$2:$A$130)=MONTH($A261), YEAR(CPI_US!$A$2:$A$130)=YEAR($A261)),
    1
  ),
""""))"),2.1)</f>
        <v>2.1</v>
      </c>
      <c r="E261" s="2">
        <v>3.37</v>
      </c>
      <c r="F261" s="2">
        <v>1.55</v>
      </c>
      <c r="G261" s="2">
        <v>968</v>
      </c>
      <c r="H261" s="2">
        <v>3240.02</v>
      </c>
      <c r="I261" s="2">
        <v>20.38</v>
      </c>
      <c r="J261" s="2">
        <v>52.1</v>
      </c>
      <c r="K261" s="2">
        <f ca="1">IFERROR(__xludf.DUMMYFUNCTION("IF($A261="""","""", IFERROR(
  INDEX(
    FILTER(IMEX_VN!$B$2:$B$130, MONTH(IMEX_VN!$A$2:$A$130)=MONTH($A261), YEAR(IMEX_VN!$A$2:$A$130)=YEAR($A261)),
    1
  ),
""""))"),0.3)</f>
        <v>0.3</v>
      </c>
      <c r="L261" s="6">
        <v>97</v>
      </c>
      <c r="M261" s="7">
        <v>78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8">
        <v>43828</v>
      </c>
      <c r="B262" s="9">
        <v>23171</v>
      </c>
      <c r="C262" s="2">
        <f ca="1">IFERROR(__xludf.DUMMYFUNCTION("IF($A262="""","""", IFERROR(
  INDEX(
    FILTER(CPI_VN!$C$2:$C$82, MONTH(CPI_VN!$A$2:$A$82)=MONTH($A262), YEAR(CPI_VN!$A$2:$A$82)=YEAR($A262)),
    1
  ),
""""))"),5.23)</f>
        <v>5.23</v>
      </c>
      <c r="D262" s="2">
        <f ca="1">IFERROR(__xludf.DUMMYFUNCTION("IF($A262="""","""", IFERROR(
  INDEX(
    FILTER(CPI_US!$D$2:$D$130, MONTH(CPI_US!$A$2:$A$130)=MONTH($A262), YEAR(CPI_US!$A$2:$A$130)=YEAR($A262)),
    1
  ),
""""))"),2.1)</f>
        <v>2.1</v>
      </c>
      <c r="E262" s="2">
        <v>3.375</v>
      </c>
      <c r="F262" s="2">
        <v>1.55</v>
      </c>
      <c r="G262" s="2">
        <v>978</v>
      </c>
      <c r="H262" s="2">
        <v>3234.85</v>
      </c>
      <c r="I262" s="2">
        <v>20.38</v>
      </c>
      <c r="J262" s="2">
        <v>52.1</v>
      </c>
      <c r="K262" s="2">
        <f ca="1">IFERROR(__xludf.DUMMYFUNCTION("IF($A262="""","""", IFERROR(
  INDEX(
    FILTER(IMEX_VN!$B$2:$B$130, MONTH(IMEX_VN!$A$2:$A$130)=MONTH($A262), YEAR(IMEX_VN!$A$2:$A$130)=YEAR($A262)),
    1
  ),
""""))"),0.3)</f>
        <v>0.3</v>
      </c>
      <c r="L262" s="6">
        <v>97</v>
      </c>
      <c r="M262" s="7">
        <v>78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8">
        <v>43835</v>
      </c>
      <c r="B263" s="9">
        <v>23176</v>
      </c>
      <c r="C263" s="2">
        <f ca="1">IFERROR(__xludf.DUMMYFUNCTION("IF($A263="""","""", IFERROR(
  INDEX(
    FILTER(CPI_VN!$C$2:$C$82, MONTH(CPI_VN!$A$2:$A$82)=MONTH($A263), YEAR(CPI_VN!$A$2:$A$82)=YEAR($A263)),
    1
  ),
""""))"),6.43)</f>
        <v>6.43</v>
      </c>
      <c r="D263" s="2">
        <f ca="1">IFERROR(__xludf.DUMMYFUNCTION("IF($A263="""","""", IFERROR(
  INDEX(
    FILTER(CPI_US!$D$2:$D$130, MONTH(CPI_US!$A$2:$A$130)=MONTH($A263), YEAR(CPI_US!$A$2:$A$130)=YEAR($A263)),
    1
  ),
""""))"),2.3)</f>
        <v>2.2999999999999998</v>
      </c>
      <c r="E263" s="2">
        <v>3.0750000000000002</v>
      </c>
      <c r="F263" s="2">
        <v>1.55</v>
      </c>
      <c r="G263" s="2">
        <v>991</v>
      </c>
      <c r="H263" s="2">
        <v>3265.35</v>
      </c>
      <c r="I263" s="2">
        <v>1.6</v>
      </c>
      <c r="J263" s="2">
        <v>30.4</v>
      </c>
      <c r="K263" s="2">
        <f ca="1">IFERROR(__xludf.DUMMYFUNCTION("IF($A263="""","""", IFERROR(
  INDEX(
    FILTER(IMEX_VN!$B$2:$B$130, MONTH(IMEX_VN!$A$2:$A$130)=MONTH($A263), YEAR(IMEX_VN!$A$2:$A$130)=YEAR($A263)),
    1
  ),
""""))"),-0.3)</f>
        <v>-0.3</v>
      </c>
      <c r="L263" s="6">
        <v>97</v>
      </c>
      <c r="M263" s="7">
        <v>81.099999999999994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8">
        <v>43842</v>
      </c>
      <c r="B264" s="9">
        <v>23170</v>
      </c>
      <c r="C264" s="2">
        <f ca="1">IFERROR(__xludf.DUMMYFUNCTION("IF($A264="""","""", IFERROR(
  INDEX(
    FILTER(CPI_VN!$C$2:$C$82, MONTH(CPI_VN!$A$2:$A$82)=MONTH($A264), YEAR(CPI_VN!$A$2:$A$82)=YEAR($A264)),
    1
  ),
""""))"),6.43)</f>
        <v>6.43</v>
      </c>
      <c r="D264" s="2">
        <f ca="1">IFERROR(__xludf.DUMMYFUNCTION("IF($A264="""","""", IFERROR(
  INDEX(
    FILTER(CPI_US!$D$2:$D$130, MONTH(CPI_US!$A$2:$A$130)=MONTH($A264), YEAR(CPI_US!$A$2:$A$130)=YEAR($A264)),
    1
  ),
""""))"),2.3)</f>
        <v>2.2999999999999998</v>
      </c>
      <c r="E264" s="2">
        <v>2.8460000000000001</v>
      </c>
      <c r="F264" s="2">
        <v>1.54</v>
      </c>
      <c r="G264" s="2">
        <v>936</v>
      </c>
      <c r="H264" s="2">
        <v>3329.62</v>
      </c>
      <c r="I264" s="2">
        <v>1.6</v>
      </c>
      <c r="J264" s="2">
        <v>30.4</v>
      </c>
      <c r="K264" s="2">
        <f ca="1">IFERROR(__xludf.DUMMYFUNCTION("IF($A264="""","""", IFERROR(
  INDEX(
    FILTER(IMEX_VN!$B$2:$B$130, MONTH(IMEX_VN!$A$2:$A$130)=MONTH($A264), YEAR(IMEX_VN!$A$2:$A$130)=YEAR($A264)),
    1
  ),
""""))"),-0.3)</f>
        <v>-0.3</v>
      </c>
      <c r="L264" s="6">
        <v>98</v>
      </c>
      <c r="M264" s="7">
        <v>81.099999999999994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8">
        <v>43849</v>
      </c>
      <c r="B265" s="9">
        <v>23169</v>
      </c>
      <c r="C265" s="2">
        <f ca="1">IFERROR(__xludf.DUMMYFUNCTION("IF($A265="""","""", IFERROR(
  INDEX(
    FILTER(CPI_VN!$C$2:$C$82, MONTH(CPI_VN!$A$2:$A$82)=MONTH($A265), YEAR(CPI_VN!$A$2:$A$82)=YEAR($A265)),
    1
  ),
""""))"),6.43)</f>
        <v>6.43</v>
      </c>
      <c r="D265" s="2">
        <f ca="1">IFERROR(__xludf.DUMMYFUNCTION("IF($A265="""","""", IFERROR(
  INDEX(
    FILTER(CPI_US!$D$2:$D$130, MONTH(CPI_US!$A$2:$A$130)=MONTH($A265), YEAR(CPI_US!$A$2:$A$130)=YEAR($A265)),
    1
  ),
""""))"),2.3)</f>
        <v>2.2999999999999998</v>
      </c>
      <c r="E265" s="2">
        <v>3.1110000000000002</v>
      </c>
      <c r="F265" s="2">
        <v>1.55</v>
      </c>
      <c r="G265" s="2">
        <v>940</v>
      </c>
      <c r="H265" s="2">
        <v>3295.47</v>
      </c>
      <c r="I265" s="2">
        <v>1.6</v>
      </c>
      <c r="J265" s="2">
        <v>30.4</v>
      </c>
      <c r="K265" s="2">
        <f ca="1">IFERROR(__xludf.DUMMYFUNCTION("IF($A265="""","""", IFERROR(
  INDEX(
    FILTER(IMEX_VN!$B$2:$B$130, MONTH(IMEX_VN!$A$2:$A$130)=MONTH($A265), YEAR(IMEX_VN!$A$2:$A$130)=YEAR($A265)),
    1
  ),
""""))"),-0.3)</f>
        <v>-0.3</v>
      </c>
      <c r="L265" s="6">
        <v>98</v>
      </c>
      <c r="M265" s="7">
        <v>81.099999999999994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8">
        <v>43856</v>
      </c>
      <c r="B266" s="9">
        <v>23222</v>
      </c>
      <c r="C266" s="2">
        <f ca="1">IFERROR(__xludf.DUMMYFUNCTION("IF($A266="""","""", IFERROR(
  INDEX(
    FILTER(CPI_VN!$C$2:$C$82, MONTH(CPI_VN!$A$2:$A$82)=MONTH($A266), YEAR(CPI_VN!$A$2:$A$82)=YEAR($A266)),
    1
  ),
""""))"),6.43)</f>
        <v>6.43</v>
      </c>
      <c r="D266" s="2">
        <f ca="1">IFERROR(__xludf.DUMMYFUNCTION("IF($A266="""","""", IFERROR(
  INDEX(
    FILTER(CPI_US!$D$2:$D$130, MONTH(CPI_US!$A$2:$A$130)=MONTH($A266), YEAR(CPI_US!$A$2:$A$130)=YEAR($A266)),
    1
  ),
""""))"),2.3)</f>
        <v>2.2999999999999998</v>
      </c>
      <c r="E266" s="2">
        <v>3.157</v>
      </c>
      <c r="F266" s="2">
        <v>1.55</v>
      </c>
      <c r="G266" s="2">
        <v>937</v>
      </c>
      <c r="H266" s="2">
        <v>3225.52</v>
      </c>
      <c r="I266" s="2">
        <v>1.6</v>
      </c>
      <c r="J266" s="2">
        <v>30.4</v>
      </c>
      <c r="K266" s="2">
        <f ca="1">IFERROR(__xludf.DUMMYFUNCTION("IF($A266="""","""", IFERROR(
  INDEX(
    FILTER(IMEX_VN!$B$2:$B$130, MONTH(IMEX_VN!$A$2:$A$130)=MONTH($A266), YEAR(IMEX_VN!$A$2:$A$130)=YEAR($A266)),
    1
  ),
""""))"),-0.3)</f>
        <v>-0.3</v>
      </c>
      <c r="L266" s="6">
        <v>97</v>
      </c>
      <c r="M266" s="7">
        <v>81.099999999999994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8">
        <v>43863</v>
      </c>
      <c r="B267" s="9">
        <v>23230</v>
      </c>
      <c r="C267" s="2">
        <f ca="1">IFERROR(__xludf.DUMMYFUNCTION("IF($A267="""","""", IFERROR(
  INDEX(
    FILTER(CPI_VN!$C$2:$C$82, MONTH(CPI_VN!$A$2:$A$82)=MONTH($A267), YEAR(CPI_VN!$A$2:$A$82)=YEAR($A267)),
    1
  ),
""""))"),5.4)</f>
        <v>5.4</v>
      </c>
      <c r="D267" s="2">
        <f ca="1">IFERROR(__xludf.DUMMYFUNCTION("IF($A267="""","""", IFERROR(
  INDEX(
    FILTER(CPI_US!$D$2:$D$130, MONTH(CPI_US!$A$2:$A$130)=MONTH($A267), YEAR(CPI_US!$A$2:$A$130)=YEAR($A267)),
    1
  ),
""""))"),2.5)</f>
        <v>2.5</v>
      </c>
      <c r="E267" s="2">
        <v>3.0459999999999998</v>
      </c>
      <c r="F267" s="2">
        <v>1.59</v>
      </c>
      <c r="G267" s="2">
        <v>933</v>
      </c>
      <c r="H267" s="2">
        <v>3327.71</v>
      </c>
      <c r="I267" s="2">
        <v>2.4500000000000002</v>
      </c>
      <c r="J267" s="2">
        <v>30.4</v>
      </c>
      <c r="K267" s="2">
        <f ca="1">IFERROR(__xludf.DUMMYFUNCTION("IF($A267="""","""", IFERROR(
  INDEX(
    FILTER(IMEX_VN!$B$2:$B$130, MONTH(IMEX_VN!$A$2:$A$130)=MONTH($A267), YEAR(IMEX_VN!$A$2:$A$130)=YEAR($A267)),
    1
  ),
""""))"),2.29999999999999)</f>
        <v>2.2999999999999901</v>
      </c>
      <c r="L267" s="6">
        <v>99</v>
      </c>
      <c r="M267" s="7">
        <v>80.7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8">
        <v>43870</v>
      </c>
      <c r="B268" s="9">
        <v>23245</v>
      </c>
      <c r="C268" s="2">
        <f ca="1">IFERROR(__xludf.DUMMYFUNCTION("IF($A268="""","""", IFERROR(
  INDEX(
    FILTER(CPI_VN!$C$2:$C$82, MONTH(CPI_VN!$A$2:$A$82)=MONTH($A268), YEAR(CPI_VN!$A$2:$A$82)=YEAR($A268)),
    1
  ),
""""))"),5.4)</f>
        <v>5.4</v>
      </c>
      <c r="D268" s="2">
        <f ca="1">IFERROR(__xludf.DUMMYFUNCTION("IF($A268="""","""", IFERROR(
  INDEX(
    FILTER(CPI_US!$D$2:$D$130, MONTH(CPI_US!$A$2:$A$130)=MONTH($A268), YEAR(CPI_US!$A$2:$A$130)=YEAR($A268)),
    1
  ),
""""))"),2.5)</f>
        <v>2.5</v>
      </c>
      <c r="E268" s="2">
        <v>2.9750000000000001</v>
      </c>
      <c r="F268" s="2">
        <v>1.58</v>
      </c>
      <c r="G268" s="2">
        <v>882</v>
      </c>
      <c r="H268" s="2">
        <v>3380.16</v>
      </c>
      <c r="I268" s="2">
        <v>2.4500000000000002</v>
      </c>
      <c r="J268" s="2">
        <v>30.4</v>
      </c>
      <c r="K268" s="2">
        <f ca="1">IFERROR(__xludf.DUMMYFUNCTION("IF($A268="""","""", IFERROR(
  INDEX(
    FILTER(IMEX_VN!$B$2:$B$130, MONTH(IMEX_VN!$A$2:$A$130)=MONTH($A268), YEAR(IMEX_VN!$A$2:$A$130)=YEAR($A268)),
    1
  ),
""""))"),2.29999999999999)</f>
        <v>2.2999999999999901</v>
      </c>
      <c r="L268" s="6">
        <v>99</v>
      </c>
      <c r="M268" s="7">
        <v>80.7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8">
        <v>43877</v>
      </c>
      <c r="B269" s="9">
        <v>23242</v>
      </c>
      <c r="C269" s="2">
        <f ca="1">IFERROR(__xludf.DUMMYFUNCTION("IF($A269="""","""", IFERROR(
  INDEX(
    FILTER(CPI_VN!$C$2:$C$82, MONTH(CPI_VN!$A$2:$A$82)=MONTH($A269), YEAR(CPI_VN!$A$2:$A$82)=YEAR($A269)),
    1
  ),
""""))"),5.4)</f>
        <v>5.4</v>
      </c>
      <c r="D269" s="2">
        <f ca="1">IFERROR(__xludf.DUMMYFUNCTION("IF($A269="""","""", IFERROR(
  INDEX(
    FILTER(CPI_US!$D$2:$D$130, MONTH(CPI_US!$A$2:$A$130)=MONTH($A269), YEAR(CPI_US!$A$2:$A$130)=YEAR($A269)),
    1
  ),
""""))"),2.5)</f>
        <v>2.5</v>
      </c>
      <c r="E269" s="2">
        <v>2.8769999999999998</v>
      </c>
      <c r="F269" s="2">
        <v>1.58</v>
      </c>
      <c r="G269" s="2">
        <v>891</v>
      </c>
      <c r="H269" s="2">
        <v>3337.75</v>
      </c>
      <c r="I269" s="2">
        <v>2.4500000000000002</v>
      </c>
      <c r="J269" s="2">
        <v>30.4</v>
      </c>
      <c r="K269" s="2">
        <f ca="1">IFERROR(__xludf.DUMMYFUNCTION("IF($A269="""","""", IFERROR(
  INDEX(
    FILTER(IMEX_VN!$B$2:$B$130, MONTH(IMEX_VN!$A$2:$A$130)=MONTH($A269), YEAR(IMEX_VN!$A$2:$A$130)=YEAR($A269)),
    1
  ),
""""))"),2.29999999999999)</f>
        <v>2.2999999999999901</v>
      </c>
      <c r="L269" s="6">
        <v>99</v>
      </c>
      <c r="M269" s="7">
        <v>80.7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8">
        <v>43884</v>
      </c>
      <c r="B270" s="9">
        <v>23240</v>
      </c>
      <c r="C270" s="2">
        <f ca="1">IFERROR(__xludf.DUMMYFUNCTION("IF($A270="""","""", IFERROR(
  INDEX(
    FILTER(CPI_VN!$C$2:$C$82, MONTH(CPI_VN!$A$2:$A$82)=MONTH($A270), YEAR(CPI_VN!$A$2:$A$82)=YEAR($A270)),
    1
  ),
""""))"),5.4)</f>
        <v>5.4</v>
      </c>
      <c r="D270" s="2">
        <f ca="1">IFERROR(__xludf.DUMMYFUNCTION("IF($A270="""","""", IFERROR(
  INDEX(
    FILTER(CPI_US!$D$2:$D$130, MONTH(CPI_US!$A$2:$A$130)=MONTH($A270), YEAR(CPI_US!$A$2:$A$130)=YEAR($A270)),
    1
  ),
""""))"),2.5)</f>
        <v>2.5</v>
      </c>
      <c r="E270" s="2">
        <v>2.8559999999999999</v>
      </c>
      <c r="F270" s="2">
        <v>1.58</v>
      </c>
      <c r="G270" s="2">
        <v>761</v>
      </c>
      <c r="H270" s="2">
        <v>2954.22</v>
      </c>
      <c r="I270" s="2">
        <v>2.4500000000000002</v>
      </c>
      <c r="J270" s="2">
        <v>30.4</v>
      </c>
      <c r="K270" s="2">
        <f ca="1">IFERROR(__xludf.DUMMYFUNCTION("IF($A270="""","""", IFERROR(
  INDEX(
    FILTER(IMEX_VN!$B$2:$B$130, MONTH(IMEX_VN!$A$2:$A$130)=MONTH($A270), YEAR(IMEX_VN!$A$2:$A$130)=YEAR($A270)),
    1
  ),
""""))"),2.29999999999999)</f>
        <v>2.2999999999999901</v>
      </c>
      <c r="L270" s="6">
        <v>98</v>
      </c>
      <c r="M270" s="7">
        <v>80.7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8">
        <v>43891</v>
      </c>
      <c r="B271" s="9">
        <v>23205</v>
      </c>
      <c r="C271" s="2">
        <f ca="1">IFERROR(__xludf.DUMMYFUNCTION("IF($A271="""","""", IFERROR(
  INDEX(
    FILTER(CPI_VN!$C$2:$C$82, MONTH(CPI_VN!$A$2:$A$82)=MONTH($A271), YEAR(CPI_VN!$A$2:$A$82)=YEAR($A271)),
    1
  ),
""""))"),4.9)</f>
        <v>4.9000000000000004</v>
      </c>
      <c r="D271" s="2">
        <f ca="1">IFERROR(__xludf.DUMMYFUNCTION("IF($A271="""","""", IFERROR(
  INDEX(
    FILTER(CPI_US!$D$2:$D$130, MONTH(CPI_US!$A$2:$A$130)=MONTH($A271), YEAR(CPI_US!$A$2:$A$130)=YEAR($A271)),
    1
  ),
""""))"),2.3)</f>
        <v>2.2999999999999998</v>
      </c>
      <c r="E271" s="2">
        <v>2.34</v>
      </c>
      <c r="F271" s="2">
        <v>1.58</v>
      </c>
      <c r="G271" s="2">
        <v>709</v>
      </c>
      <c r="H271" s="2">
        <v>2972.37</v>
      </c>
      <c r="I271" s="2">
        <v>3.85</v>
      </c>
      <c r="J271" s="2">
        <v>30.4</v>
      </c>
      <c r="K271" s="2">
        <f ca="1">IFERROR(__xludf.DUMMYFUNCTION("IF($A271="""","""", IFERROR(
  INDEX(
    FILTER(IMEX_VN!$B$2:$B$130, MONTH(IMEX_VN!$A$2:$A$130)=MONTH($A271), YEAR(IMEX_VN!$A$2:$A$130)=YEAR($A271)),
    1
  ),
""""))"),1.9)</f>
        <v>1.9</v>
      </c>
      <c r="L271" s="6">
        <v>96</v>
      </c>
      <c r="M271" s="7">
        <v>81.3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8">
        <v>43898</v>
      </c>
      <c r="B272" s="9">
        <v>23208</v>
      </c>
      <c r="C272" s="2">
        <f ca="1">IFERROR(__xludf.DUMMYFUNCTION("IF($A272="""","""", IFERROR(
  INDEX(
    FILTER(CPI_VN!$C$2:$C$82, MONTH(CPI_VN!$A$2:$A$82)=MONTH($A272), YEAR(CPI_VN!$A$2:$A$82)=YEAR($A272)),
    1
  ),
""""))"),4.9)</f>
        <v>4.9000000000000004</v>
      </c>
      <c r="D272" s="2">
        <f ca="1">IFERROR(__xludf.DUMMYFUNCTION("IF($A272="""","""", IFERROR(
  INDEX(
    FILTER(CPI_US!$D$2:$D$130, MONTH(CPI_US!$A$2:$A$130)=MONTH($A272), YEAR(CPI_US!$A$2:$A$130)=YEAR($A272)),
    1
  ),
""""))"),2.3)</f>
        <v>2.2999999999999998</v>
      </c>
      <c r="E272" s="2">
        <v>2.4390000000000001</v>
      </c>
      <c r="F272" s="2">
        <v>1.0900000000000001</v>
      </c>
      <c r="G272" s="2">
        <v>696</v>
      </c>
      <c r="H272" s="2">
        <v>2711.02</v>
      </c>
      <c r="I272" s="2">
        <v>3.85</v>
      </c>
      <c r="J272" s="2">
        <v>30.4</v>
      </c>
      <c r="K272" s="2">
        <f ca="1">IFERROR(__xludf.DUMMYFUNCTION("IF($A272="""","""", IFERROR(
  INDEX(
    FILTER(IMEX_VN!$B$2:$B$130, MONTH(IMEX_VN!$A$2:$A$130)=MONTH($A272), YEAR(IMEX_VN!$A$2:$A$130)=YEAR($A272)),
    1
  ),
""""))"),1.9)</f>
        <v>1.9</v>
      </c>
      <c r="L272" s="6">
        <v>99</v>
      </c>
      <c r="M272" s="7">
        <v>81.3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8">
        <v>43905</v>
      </c>
      <c r="B273" s="9">
        <v>23455</v>
      </c>
      <c r="C273" s="2">
        <f ca="1">IFERROR(__xludf.DUMMYFUNCTION("IF($A273="""","""", IFERROR(
  INDEX(
    FILTER(CPI_VN!$C$2:$C$82, MONTH(CPI_VN!$A$2:$A$82)=MONTH($A273), YEAR(CPI_VN!$A$2:$A$82)=YEAR($A273)),
    1
  ),
""""))"),4.9)</f>
        <v>4.9000000000000004</v>
      </c>
      <c r="D273" s="2">
        <f ca="1">IFERROR(__xludf.DUMMYFUNCTION("IF($A273="""","""", IFERROR(
  INDEX(
    FILTER(CPI_US!$D$2:$D$130, MONTH(CPI_US!$A$2:$A$130)=MONTH($A273), YEAR(CPI_US!$A$2:$A$130)=YEAR($A273)),
    1
  ),
""""))"),2.3)</f>
        <v>2.2999999999999998</v>
      </c>
      <c r="E273" s="2">
        <v>2.88</v>
      </c>
      <c r="F273" s="2">
        <v>1.1000000000000001</v>
      </c>
      <c r="G273" s="2">
        <v>701</v>
      </c>
      <c r="H273" s="2">
        <v>2304.92</v>
      </c>
      <c r="I273" s="2">
        <v>3.85</v>
      </c>
      <c r="J273" s="2">
        <v>30.4</v>
      </c>
      <c r="K273" s="2">
        <f ca="1">IFERROR(__xludf.DUMMYFUNCTION("IF($A273="""","""", IFERROR(
  INDEX(
    FILTER(IMEX_VN!$B$2:$B$130, MONTH(IMEX_VN!$A$2:$A$130)=MONTH($A273), YEAR(IMEX_VN!$A$2:$A$130)=YEAR($A273)),
    1
  ),
""""))"),1.9)</f>
        <v>1.9</v>
      </c>
      <c r="L273" s="6">
        <v>103</v>
      </c>
      <c r="M273" s="7">
        <v>81.3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8">
        <v>43912</v>
      </c>
      <c r="B274" s="9">
        <v>23620</v>
      </c>
      <c r="C274" s="2">
        <f ca="1">IFERROR(__xludf.DUMMYFUNCTION("IF($A274="""","""", IFERROR(
  INDEX(
    FILTER(CPI_VN!$C$2:$C$82, MONTH(CPI_VN!$A$2:$A$82)=MONTH($A274), YEAR(CPI_VN!$A$2:$A$82)=YEAR($A274)),
    1
  ),
""""))"),4.9)</f>
        <v>4.9000000000000004</v>
      </c>
      <c r="D274" s="2">
        <f ca="1">IFERROR(__xludf.DUMMYFUNCTION("IF($A274="""","""", IFERROR(
  INDEX(
    FILTER(CPI_US!$D$2:$D$130, MONTH(CPI_US!$A$2:$A$130)=MONTH($A274), YEAR(CPI_US!$A$2:$A$130)=YEAR($A274)),
    1
  ),
""""))"),2.3)</f>
        <v>2.2999999999999998</v>
      </c>
      <c r="E274" s="2">
        <v>3.4540000000000002</v>
      </c>
      <c r="F274" s="2">
        <v>0.15</v>
      </c>
      <c r="G274" s="2">
        <v>757</v>
      </c>
      <c r="H274" s="2">
        <v>2541.4699999999998</v>
      </c>
      <c r="I274" s="2">
        <v>3.85</v>
      </c>
      <c r="J274" s="2">
        <v>30.4</v>
      </c>
      <c r="K274" s="2">
        <f ca="1">IFERROR(__xludf.DUMMYFUNCTION("IF($A274="""","""", IFERROR(
  INDEX(
    FILTER(IMEX_VN!$B$2:$B$130, MONTH(IMEX_VN!$A$2:$A$130)=MONTH($A274), YEAR(IMEX_VN!$A$2:$A$130)=YEAR($A274)),
    1
  ),
""""))"),1.9)</f>
        <v>1.9</v>
      </c>
      <c r="L274" s="6">
        <v>98</v>
      </c>
      <c r="M274" s="7">
        <v>81.3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8">
        <v>43919</v>
      </c>
      <c r="B275" s="9">
        <v>23550</v>
      </c>
      <c r="C275" s="2">
        <f ca="1">IFERROR(__xludf.DUMMYFUNCTION("IF($A275="""","""", IFERROR(
  INDEX(
    FILTER(CPI_VN!$C$2:$C$82, MONTH(CPI_VN!$A$2:$A$82)=MONTH($A275), YEAR(CPI_VN!$A$2:$A$82)=YEAR($A275)),
    1
  ),
""""))"),4.9)</f>
        <v>4.9000000000000004</v>
      </c>
      <c r="D275" s="2">
        <f ca="1">IFERROR(__xludf.DUMMYFUNCTION("IF($A275="""","""", IFERROR(
  INDEX(
    FILTER(CPI_US!$D$2:$D$130, MONTH(CPI_US!$A$2:$A$130)=MONTH($A275), YEAR(CPI_US!$A$2:$A$130)=YEAR($A275)),
    1
  ),
""""))"),2.3)</f>
        <v>2.2999999999999998</v>
      </c>
      <c r="E275" s="2">
        <v>3.5259999999999998</v>
      </c>
      <c r="F275" s="2">
        <v>0.1</v>
      </c>
      <c r="G275" s="2">
        <v>789</v>
      </c>
      <c r="H275" s="2">
        <v>2488.65</v>
      </c>
      <c r="I275" s="2">
        <v>3.85</v>
      </c>
      <c r="J275" s="2">
        <v>30.4</v>
      </c>
      <c r="K275" s="2">
        <f ca="1">IFERROR(__xludf.DUMMYFUNCTION("IF($A275="""","""", IFERROR(
  INDEX(
    FILTER(IMEX_VN!$B$2:$B$130, MONTH(IMEX_VN!$A$2:$A$130)=MONTH($A275), YEAR(IMEX_VN!$A$2:$A$130)=YEAR($A275)),
    1
  ),
""""))"),1.9)</f>
        <v>1.9</v>
      </c>
      <c r="L275" s="6">
        <v>101</v>
      </c>
      <c r="M275" s="7">
        <v>81.3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8">
        <v>43926</v>
      </c>
      <c r="B276" s="9">
        <v>23435</v>
      </c>
      <c r="C276" s="2">
        <f ca="1">IFERROR(__xludf.DUMMYFUNCTION("IF($A276="""","""", IFERROR(
  INDEX(
    FILTER(CPI_VN!$C$2:$C$82, MONTH(CPI_VN!$A$2:$A$82)=MONTH($A276), YEAR(CPI_VN!$A$2:$A$82)=YEAR($A276)),
    1
  ),
""""))"),2.9)</f>
        <v>2.9</v>
      </c>
      <c r="D276" s="2">
        <f ca="1">IFERROR(__xludf.DUMMYFUNCTION("IF($A276="""","""", IFERROR(
  INDEX(
    FILTER(CPI_US!$D$2:$D$130, MONTH(CPI_US!$A$2:$A$130)=MONTH($A276), YEAR(CPI_US!$A$2:$A$130)=YEAR($A276)),
    1
  ),
""""))"),1.5)</f>
        <v>1.5</v>
      </c>
      <c r="E276" s="2">
        <v>3.2240000000000002</v>
      </c>
      <c r="F276" s="2">
        <v>0.05</v>
      </c>
      <c r="G276" s="2">
        <v>776</v>
      </c>
      <c r="H276" s="2">
        <v>2789.82</v>
      </c>
      <c r="I276" s="2">
        <v>5.15</v>
      </c>
      <c r="J276" s="2">
        <v>24.7</v>
      </c>
      <c r="K276" s="2">
        <f ca="1">IFERROR(__xludf.DUMMYFUNCTION("IF($A276="""","""", IFERROR(
  INDEX(
    FILTER(IMEX_VN!$B$2:$B$130, MONTH(IMEX_VN!$A$2:$A$130)=MONTH($A276), YEAR(IMEX_VN!$A$2:$A$130)=YEAR($A276)),
    1
  ),
""""))"),-0.899999999999998)</f>
        <v>-0.89999999999999802</v>
      </c>
      <c r="L276" s="6">
        <v>100</v>
      </c>
      <c r="M276" s="7">
        <v>81.400000000000006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8">
        <v>43933</v>
      </c>
      <c r="B277" s="9">
        <v>23424</v>
      </c>
      <c r="C277" s="2">
        <f ca="1">IFERROR(__xludf.DUMMYFUNCTION("IF($A277="""","""", IFERROR(
  INDEX(
    FILTER(CPI_VN!$C$2:$C$82, MONTH(CPI_VN!$A$2:$A$82)=MONTH($A277), YEAR(CPI_VN!$A$2:$A$82)=YEAR($A277)),
    1
  ),
""""))"),2.9)</f>
        <v>2.9</v>
      </c>
      <c r="D277" s="2">
        <f ca="1">IFERROR(__xludf.DUMMYFUNCTION("IF($A277="""","""", IFERROR(
  INDEX(
    FILTER(CPI_US!$D$2:$D$130, MONTH(CPI_US!$A$2:$A$130)=MONTH($A277), YEAR(CPI_US!$A$2:$A$130)=YEAR($A277)),
    1
  ),
""""))"),1.5)</f>
        <v>1.5</v>
      </c>
      <c r="E277" s="2">
        <v>3.246</v>
      </c>
      <c r="F277" s="2">
        <v>0.05</v>
      </c>
      <c r="G277" s="2">
        <v>769</v>
      </c>
      <c r="H277" s="2">
        <v>2874.56</v>
      </c>
      <c r="I277" s="2">
        <v>5.15</v>
      </c>
      <c r="J277" s="2">
        <v>24.7</v>
      </c>
      <c r="K277" s="2">
        <f ca="1">IFERROR(__xludf.DUMMYFUNCTION("IF($A277="""","""", IFERROR(
  INDEX(
    FILTER(IMEX_VN!$B$2:$B$130, MONTH(IMEX_VN!$A$2:$A$130)=MONTH($A277), YEAR(IMEX_VN!$A$2:$A$130)=YEAR($A277)),
    1
  ),
""""))"),-0.899999999999998)</f>
        <v>-0.89999999999999802</v>
      </c>
      <c r="L277" s="6">
        <v>100</v>
      </c>
      <c r="M277" s="7">
        <v>81.400000000000006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8">
        <v>43940</v>
      </c>
      <c r="B278" s="9">
        <v>23505</v>
      </c>
      <c r="C278" s="2">
        <f ca="1">IFERROR(__xludf.DUMMYFUNCTION("IF($A278="""","""", IFERROR(
  INDEX(
    FILTER(CPI_VN!$C$2:$C$82, MONTH(CPI_VN!$A$2:$A$82)=MONTH($A278), YEAR(CPI_VN!$A$2:$A$82)=YEAR($A278)),
    1
  ),
""""))"),2.9)</f>
        <v>2.9</v>
      </c>
      <c r="D278" s="2">
        <f ca="1">IFERROR(__xludf.DUMMYFUNCTION("IF($A278="""","""", IFERROR(
  INDEX(
    FILTER(CPI_US!$D$2:$D$130, MONTH(CPI_US!$A$2:$A$130)=MONTH($A278), YEAR(CPI_US!$A$2:$A$130)=YEAR($A278)),
    1
  ),
""""))"),1.5)</f>
        <v>1.5</v>
      </c>
      <c r="E278" s="2">
        <v>3.1970000000000001</v>
      </c>
      <c r="F278" s="2">
        <v>0.05</v>
      </c>
      <c r="G278" s="2">
        <v>813</v>
      </c>
      <c r="H278" s="2">
        <v>2836.74</v>
      </c>
      <c r="I278" s="2">
        <v>5.15</v>
      </c>
      <c r="J278" s="2">
        <v>24.7</v>
      </c>
      <c r="K278" s="2">
        <f ca="1">IFERROR(__xludf.DUMMYFUNCTION("IF($A278="""","""", IFERROR(
  INDEX(
    FILTER(IMEX_VN!$B$2:$B$130, MONTH(IMEX_VN!$A$2:$A$130)=MONTH($A278), YEAR(IMEX_VN!$A$2:$A$130)=YEAR($A278)),
    1
  ),
""""))"),-0.899999999999998)</f>
        <v>-0.89999999999999802</v>
      </c>
      <c r="L278" s="6">
        <v>100</v>
      </c>
      <c r="M278" s="7">
        <v>81.400000000000006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8">
        <v>43947</v>
      </c>
      <c r="B279" s="9">
        <v>23428</v>
      </c>
      <c r="C279" s="2">
        <f ca="1">IFERROR(__xludf.DUMMYFUNCTION("IF($A279="""","""", IFERROR(
  INDEX(
    FILTER(CPI_VN!$C$2:$C$82, MONTH(CPI_VN!$A$2:$A$82)=MONTH($A279), YEAR(CPI_VN!$A$2:$A$82)=YEAR($A279)),
    1
  ),
""""))"),2.9)</f>
        <v>2.9</v>
      </c>
      <c r="D279" s="2">
        <f ca="1">IFERROR(__xludf.DUMMYFUNCTION("IF($A279="""","""", IFERROR(
  INDEX(
    FILTER(CPI_US!$D$2:$D$130, MONTH(CPI_US!$A$2:$A$130)=MONTH($A279), YEAR(CPI_US!$A$2:$A$130)=YEAR($A279)),
    1
  ),
""""))"),1.5)</f>
        <v>1.5</v>
      </c>
      <c r="E279" s="2">
        <v>3.05</v>
      </c>
      <c r="F279" s="2">
        <v>0.05</v>
      </c>
      <c r="G279" s="2">
        <v>827</v>
      </c>
      <c r="H279" s="2">
        <v>2830.71</v>
      </c>
      <c r="I279" s="2">
        <v>5.15</v>
      </c>
      <c r="J279" s="2">
        <v>24.7</v>
      </c>
      <c r="K279" s="2">
        <f ca="1">IFERROR(__xludf.DUMMYFUNCTION("IF($A279="""","""", IFERROR(
  INDEX(
    FILTER(IMEX_VN!$B$2:$B$130, MONTH(IMEX_VN!$A$2:$A$130)=MONTH($A279), YEAR(IMEX_VN!$A$2:$A$130)=YEAR($A279)),
    1
  ),
""""))"),-0.899999999999998)</f>
        <v>-0.89999999999999802</v>
      </c>
      <c r="L279" s="6">
        <v>99</v>
      </c>
      <c r="M279" s="7">
        <v>81.400000000000006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8">
        <v>43954</v>
      </c>
      <c r="B280" s="9">
        <v>23377</v>
      </c>
      <c r="C280" s="2">
        <f ca="1">IFERROR(__xludf.DUMMYFUNCTION("IF($A280="""","""", IFERROR(
  INDEX(
    FILTER(CPI_VN!$C$2:$C$82, MONTH(CPI_VN!$A$2:$A$82)=MONTH($A280), YEAR(CPI_VN!$A$2:$A$82)=YEAR($A280)),
    1
  ),
""""))"),2.4)</f>
        <v>2.4</v>
      </c>
      <c r="D280" s="2">
        <f ca="1">IFERROR(__xludf.DUMMYFUNCTION("IF($A280="""","""", IFERROR(
  INDEX(
    FILTER(CPI_US!$D$2:$D$130, MONTH(CPI_US!$A$2:$A$130)=MONTH($A280), YEAR(CPI_US!$A$2:$A$130)=YEAR($A280)),
    1
  ),
""""))"),0.3)</f>
        <v>0.3</v>
      </c>
      <c r="E280" s="2">
        <v>3.0630000000000002</v>
      </c>
      <c r="F280" s="2">
        <v>0.05</v>
      </c>
      <c r="G280" s="2">
        <v>852</v>
      </c>
      <c r="H280" s="2">
        <v>2929.8</v>
      </c>
      <c r="I280" s="2">
        <v>6.7</v>
      </c>
      <c r="J280" s="2">
        <v>24.7</v>
      </c>
      <c r="K280" s="2">
        <f ca="1">IFERROR(__xludf.DUMMYFUNCTION("IF($A280="""","""", IFERROR(
  INDEX(
    FILTER(IMEX_VN!$B$2:$B$130, MONTH(IMEX_VN!$A$2:$A$130)=MONTH($A280), YEAR(IMEX_VN!$A$2:$A$130)=YEAR($A280)),
    1
  ),
""""))"),1)</f>
        <v>1</v>
      </c>
      <c r="L280" s="6">
        <v>100</v>
      </c>
      <c r="M280" s="7">
        <v>82.8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8">
        <v>43961</v>
      </c>
      <c r="B281" s="9">
        <v>23355</v>
      </c>
      <c r="C281" s="2">
        <f ca="1">IFERROR(__xludf.DUMMYFUNCTION("IF($A281="""","""", IFERROR(
  INDEX(
    FILTER(CPI_VN!$C$2:$C$82, MONTH(CPI_VN!$A$2:$A$82)=MONTH($A281), YEAR(CPI_VN!$A$2:$A$82)=YEAR($A281)),
    1
  ),
""""))"),2.4)</f>
        <v>2.4</v>
      </c>
      <c r="D281" s="2">
        <f ca="1">IFERROR(__xludf.DUMMYFUNCTION("IF($A281="""","""", IFERROR(
  INDEX(
    FILTER(CPI_US!$D$2:$D$130, MONTH(CPI_US!$A$2:$A$130)=MONTH($A281), YEAR(CPI_US!$A$2:$A$130)=YEAR($A281)),
    1
  ),
""""))"),0.3)</f>
        <v>0.3</v>
      </c>
      <c r="E281" s="2">
        <v>3.01</v>
      </c>
      <c r="F281" s="2">
        <v>0.05</v>
      </c>
      <c r="G281" s="2">
        <v>864</v>
      </c>
      <c r="H281" s="2">
        <v>2863.7</v>
      </c>
      <c r="I281" s="2">
        <v>6.7</v>
      </c>
      <c r="J281" s="2">
        <v>24.7</v>
      </c>
      <c r="K281" s="2">
        <f ca="1">IFERROR(__xludf.DUMMYFUNCTION("IF($A281="""","""", IFERROR(
  INDEX(
    FILTER(IMEX_VN!$B$2:$B$130, MONTH(IMEX_VN!$A$2:$A$130)=MONTH($A281), YEAR(IMEX_VN!$A$2:$A$130)=YEAR($A281)),
    1
  ),
""""))"),1)</f>
        <v>1</v>
      </c>
      <c r="L281" s="6">
        <v>100</v>
      </c>
      <c r="M281" s="7">
        <v>82.8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8">
        <v>43968</v>
      </c>
      <c r="B282" s="9">
        <v>23267</v>
      </c>
      <c r="C282" s="2">
        <f ca="1">IFERROR(__xludf.DUMMYFUNCTION("IF($A282="""","""", IFERROR(
  INDEX(
    FILTER(CPI_VN!$C$2:$C$82, MONTH(CPI_VN!$A$2:$A$82)=MONTH($A282), YEAR(CPI_VN!$A$2:$A$82)=YEAR($A282)),
    1
  ),
""""))"),2.4)</f>
        <v>2.4</v>
      </c>
      <c r="D282" s="2">
        <f ca="1">IFERROR(__xludf.DUMMYFUNCTION("IF($A282="""","""", IFERROR(
  INDEX(
    FILTER(CPI_US!$D$2:$D$130, MONTH(CPI_US!$A$2:$A$130)=MONTH($A282), YEAR(CPI_US!$A$2:$A$130)=YEAR($A282)),
    1
  ),
""""))"),0.3)</f>
        <v>0.3</v>
      </c>
      <c r="E282" s="2">
        <v>3.0259999999999998</v>
      </c>
      <c r="F282" s="2">
        <v>0.05</v>
      </c>
      <c r="G282" s="2">
        <v>886</v>
      </c>
      <c r="H282" s="2">
        <v>2955.45</v>
      </c>
      <c r="I282" s="2">
        <v>6.7</v>
      </c>
      <c r="J282" s="2">
        <v>24.7</v>
      </c>
      <c r="K282" s="2">
        <f ca="1">IFERROR(__xludf.DUMMYFUNCTION("IF($A282="""","""", IFERROR(
  INDEX(
    FILTER(IMEX_VN!$B$2:$B$130, MONTH(IMEX_VN!$A$2:$A$130)=MONTH($A282), YEAR(IMEX_VN!$A$2:$A$130)=YEAR($A282)),
    1
  ),
""""))"),1)</f>
        <v>1</v>
      </c>
      <c r="L282" s="6">
        <v>100</v>
      </c>
      <c r="M282" s="7">
        <v>82.8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8">
        <v>43975</v>
      </c>
      <c r="B283" s="9">
        <v>23280</v>
      </c>
      <c r="C283" s="2">
        <f ca="1">IFERROR(__xludf.DUMMYFUNCTION("IF($A283="""","""", IFERROR(
  INDEX(
    FILTER(CPI_VN!$C$2:$C$82, MONTH(CPI_VN!$A$2:$A$82)=MONTH($A283), YEAR(CPI_VN!$A$2:$A$82)=YEAR($A283)),
    1
  ),
""""))"),2.4)</f>
        <v>2.4</v>
      </c>
      <c r="D283" s="2">
        <f ca="1">IFERROR(__xludf.DUMMYFUNCTION("IF($A283="""","""", IFERROR(
  INDEX(
    FILTER(CPI_US!$D$2:$D$130, MONTH(CPI_US!$A$2:$A$130)=MONTH($A283), YEAR(CPI_US!$A$2:$A$130)=YEAR($A283)),
    1
  ),
""""))"),0.3)</f>
        <v>0.3</v>
      </c>
      <c r="E283" s="2">
        <v>3.1459999999999999</v>
      </c>
      <c r="F283" s="2">
        <v>0.05</v>
      </c>
      <c r="G283" s="2">
        <v>863</v>
      </c>
      <c r="H283" s="2">
        <v>3044.31</v>
      </c>
      <c r="I283" s="2">
        <v>6.7</v>
      </c>
      <c r="J283" s="2">
        <v>24.7</v>
      </c>
      <c r="K283" s="2">
        <f ca="1">IFERROR(__xludf.DUMMYFUNCTION("IF($A283="""","""", IFERROR(
  INDEX(
    FILTER(IMEX_VN!$B$2:$B$130, MONTH(IMEX_VN!$A$2:$A$130)=MONTH($A283), YEAR(IMEX_VN!$A$2:$A$130)=YEAR($A283)),
    1
  ),
""""))"),1)</f>
        <v>1</v>
      </c>
      <c r="L283" s="6">
        <v>98</v>
      </c>
      <c r="M283" s="7">
        <v>82.8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8">
        <v>43982</v>
      </c>
      <c r="B284" s="9">
        <v>23255</v>
      </c>
      <c r="C284" s="2">
        <f ca="1">IFERROR(__xludf.DUMMYFUNCTION("IF($A284="""","""", IFERROR(
  INDEX(
    FILTER(CPI_VN!$C$2:$C$82, MONTH(CPI_VN!$A$2:$A$82)=MONTH($A284), YEAR(CPI_VN!$A$2:$A$82)=YEAR($A284)),
    1
  ),
""""))"),2.4)</f>
        <v>2.4</v>
      </c>
      <c r="D284" s="2">
        <f ca="1">IFERROR(__xludf.DUMMYFUNCTION("IF($A284="""","""", IFERROR(
  INDEX(
    FILTER(CPI_US!$D$2:$D$130, MONTH(CPI_US!$A$2:$A$130)=MONTH($A284), YEAR(CPI_US!$A$2:$A$130)=YEAR($A284)),
    1
  ),
""""))"),0.3)</f>
        <v>0.3</v>
      </c>
      <c r="E284" s="2">
        <v>3.0960000000000001</v>
      </c>
      <c r="F284" s="2">
        <v>0.05</v>
      </c>
      <c r="G284" s="2">
        <v>868</v>
      </c>
      <c r="H284" s="2">
        <v>3193.93</v>
      </c>
      <c r="I284" s="2">
        <v>6.7</v>
      </c>
      <c r="J284" s="2">
        <v>24.7</v>
      </c>
      <c r="K284" s="2">
        <f ca="1">IFERROR(__xludf.DUMMYFUNCTION("IF($A284="""","""", IFERROR(
  INDEX(
    FILTER(IMEX_VN!$B$2:$B$130, MONTH(IMEX_VN!$A$2:$A$130)=MONTH($A284), YEAR(IMEX_VN!$A$2:$A$130)=YEAR($A284)),
    1
  ),
""""))"),1)</f>
        <v>1</v>
      </c>
      <c r="L284" s="6">
        <v>97</v>
      </c>
      <c r="M284" s="7">
        <v>82.8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8">
        <v>43989</v>
      </c>
      <c r="B285" s="9">
        <v>23206</v>
      </c>
      <c r="C285" s="2">
        <f ca="1">IFERROR(__xludf.DUMMYFUNCTION("IF($A285="""","""", IFERROR(
  INDEX(
    FILTER(CPI_VN!$C$2:$C$82, MONTH(CPI_VN!$A$2:$A$82)=MONTH($A285), YEAR(CPI_VN!$A$2:$A$82)=YEAR($A285)),
    1
  ),
""""))"),3.17)</f>
        <v>3.17</v>
      </c>
      <c r="D285" s="2">
        <f ca="1">IFERROR(__xludf.DUMMYFUNCTION("IF($A285="""","""", IFERROR(
  INDEX(
    FILTER(CPI_US!$D$2:$D$130, MONTH(CPI_US!$A$2:$A$130)=MONTH($A285), YEAR(CPI_US!$A$2:$A$130)=YEAR($A285)),
    1
  ),
""""))"),0.1)</f>
        <v>0.1</v>
      </c>
      <c r="E285" s="2">
        <v>3.0670000000000002</v>
      </c>
      <c r="F285" s="2">
        <v>7.0000000000000007E-2</v>
      </c>
      <c r="G285" s="2">
        <v>851</v>
      </c>
      <c r="H285" s="2">
        <v>3041.31</v>
      </c>
      <c r="I285" s="2">
        <v>8.65</v>
      </c>
      <c r="J285" s="2">
        <v>24.7</v>
      </c>
      <c r="K285" s="2">
        <f ca="1">IFERROR(__xludf.DUMMYFUNCTION("IF($A285="""","""", IFERROR(
  INDEX(
    FILTER(IMEX_VN!$B$2:$B$130, MONTH(IMEX_VN!$A$2:$A$130)=MONTH($A285), YEAR(IMEX_VN!$A$2:$A$130)=YEAR($A285)),
    1
  ),
""""))"),1.9)</f>
        <v>1.9</v>
      </c>
      <c r="L285" s="6">
        <v>97</v>
      </c>
      <c r="M285" s="7">
        <v>83.4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8">
        <v>43996</v>
      </c>
      <c r="B286" s="9">
        <v>23215</v>
      </c>
      <c r="C286" s="2">
        <f ca="1">IFERROR(__xludf.DUMMYFUNCTION("IF($A286="""","""", IFERROR(
  INDEX(
    FILTER(CPI_VN!$C$2:$C$82, MONTH(CPI_VN!$A$2:$A$82)=MONTH($A286), YEAR(CPI_VN!$A$2:$A$82)=YEAR($A286)),
    1
  ),
""""))"),3.17)</f>
        <v>3.17</v>
      </c>
      <c r="D286" s="2">
        <f ca="1">IFERROR(__xludf.DUMMYFUNCTION("IF($A286="""","""", IFERROR(
  INDEX(
    FILTER(CPI_US!$D$2:$D$130, MONTH(CPI_US!$A$2:$A$130)=MONTH($A286), YEAR(CPI_US!$A$2:$A$130)=YEAR($A286)),
    1
  ),
""""))"),0.1)</f>
        <v>0.1</v>
      </c>
      <c r="E286" s="2">
        <v>3.069</v>
      </c>
      <c r="F286" s="2">
        <v>0.08</v>
      </c>
      <c r="G286" s="2">
        <v>847</v>
      </c>
      <c r="H286" s="2">
        <v>3097.74</v>
      </c>
      <c r="I286" s="2">
        <v>8.65</v>
      </c>
      <c r="J286" s="2">
        <v>24.7</v>
      </c>
      <c r="K286" s="2">
        <f ca="1">IFERROR(__xludf.DUMMYFUNCTION("IF($A286="""","""", IFERROR(
  INDEX(
    FILTER(IMEX_VN!$B$2:$B$130, MONTH(IMEX_VN!$A$2:$A$130)=MONTH($A286), YEAR(IMEX_VN!$A$2:$A$130)=YEAR($A286)),
    1
  ),
""""))"),1.9)</f>
        <v>1.9</v>
      </c>
      <c r="L286" s="6">
        <v>98</v>
      </c>
      <c r="M286" s="7">
        <v>83.4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8">
        <v>44003</v>
      </c>
      <c r="B287" s="9">
        <v>23210</v>
      </c>
      <c r="C287" s="2">
        <f ca="1">IFERROR(__xludf.DUMMYFUNCTION("IF($A287="""","""", IFERROR(
  INDEX(
    FILTER(CPI_VN!$C$2:$C$82, MONTH(CPI_VN!$A$2:$A$82)=MONTH($A287), YEAR(CPI_VN!$A$2:$A$82)=YEAR($A287)),
    1
  ),
""""))"),3.17)</f>
        <v>3.17</v>
      </c>
      <c r="D287" s="2">
        <f ca="1">IFERROR(__xludf.DUMMYFUNCTION("IF($A287="""","""", IFERROR(
  INDEX(
    FILTER(CPI_US!$D$2:$D$130, MONTH(CPI_US!$A$2:$A$130)=MONTH($A287), YEAR(CPI_US!$A$2:$A$130)=YEAR($A287)),
    1
  ),
""""))"),0.1)</f>
        <v>0.1</v>
      </c>
      <c r="E287" s="2">
        <v>3.0259999999999998</v>
      </c>
      <c r="F287" s="2">
        <v>0.09</v>
      </c>
      <c r="G287" s="2">
        <v>871</v>
      </c>
      <c r="H287" s="2">
        <v>3009.05</v>
      </c>
      <c r="I287" s="2">
        <v>8.65</v>
      </c>
      <c r="J287" s="2">
        <v>24.7</v>
      </c>
      <c r="K287" s="2">
        <f ca="1">IFERROR(__xludf.DUMMYFUNCTION("IF($A287="""","""", IFERROR(
  INDEX(
    FILTER(IMEX_VN!$B$2:$B$130, MONTH(IMEX_VN!$A$2:$A$130)=MONTH($A287), YEAR(IMEX_VN!$A$2:$A$130)=YEAR($A287)),
    1
  ),
""""))"),1.9)</f>
        <v>1.9</v>
      </c>
      <c r="L287" s="6">
        <v>97</v>
      </c>
      <c r="M287" s="7">
        <v>83.4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8">
        <v>44010</v>
      </c>
      <c r="B288" s="9">
        <v>23199</v>
      </c>
      <c r="C288" s="2">
        <f ca="1">IFERROR(__xludf.DUMMYFUNCTION("IF($A288="""","""", IFERROR(
  INDEX(
    FILTER(CPI_VN!$C$2:$C$82, MONTH(CPI_VN!$A$2:$A$82)=MONTH($A288), YEAR(CPI_VN!$A$2:$A$82)=YEAR($A288)),
    1
  ),
""""))"),3.17)</f>
        <v>3.17</v>
      </c>
      <c r="D288" s="2">
        <f ca="1">IFERROR(__xludf.DUMMYFUNCTION("IF($A288="""","""", IFERROR(
  INDEX(
    FILTER(CPI_US!$D$2:$D$130, MONTH(CPI_US!$A$2:$A$130)=MONTH($A288), YEAR(CPI_US!$A$2:$A$130)=YEAR($A288)),
    1
  ),
""""))"),0.1)</f>
        <v>0.1</v>
      </c>
      <c r="E288" s="2">
        <v>3.0070000000000001</v>
      </c>
      <c r="F288" s="2">
        <v>0.08</v>
      </c>
      <c r="G288" s="2">
        <v>872</v>
      </c>
      <c r="H288" s="2">
        <v>3130.01</v>
      </c>
      <c r="I288" s="2">
        <v>8.65</v>
      </c>
      <c r="J288" s="2">
        <v>24.7</v>
      </c>
      <c r="K288" s="2">
        <f ca="1">IFERROR(__xludf.DUMMYFUNCTION("IF($A288="""","""", IFERROR(
  INDEX(
    FILTER(IMEX_VN!$B$2:$B$130, MONTH(IMEX_VN!$A$2:$A$130)=MONTH($A288), YEAR(IMEX_VN!$A$2:$A$130)=YEAR($A288)),
    1
  ),
""""))"),1.9)</f>
        <v>1.9</v>
      </c>
      <c r="L288" s="6">
        <v>97</v>
      </c>
      <c r="M288" s="7">
        <v>83.4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8">
        <v>44017</v>
      </c>
      <c r="B289" s="9">
        <v>23177</v>
      </c>
      <c r="C289" s="2">
        <f ca="1">IFERROR(__xludf.DUMMYFUNCTION("IF($A289="""","""", IFERROR(
  INDEX(
    FILTER(CPI_VN!$C$2:$C$82, MONTH(CPI_VN!$A$2:$A$82)=MONTH($A289), YEAR(CPI_VN!$A$2:$A$82)=YEAR($A289)),
    1
  ),
""""))"),3.39)</f>
        <v>3.39</v>
      </c>
      <c r="D289" s="2">
        <f ca="1">IFERROR(__xludf.DUMMYFUNCTION("IF($A289="""","""", IFERROR(
  INDEX(
    FILTER(CPI_US!$D$2:$D$130, MONTH(CPI_US!$A$2:$A$130)=MONTH($A289), YEAR(CPI_US!$A$2:$A$130)=YEAR($A289)),
    1
  ),
""""))"),0.6)</f>
        <v>0.6</v>
      </c>
      <c r="E289" s="2">
        <v>2.919</v>
      </c>
      <c r="F289" s="2">
        <v>0.09</v>
      </c>
      <c r="G289" s="2">
        <v>829</v>
      </c>
      <c r="H289" s="2">
        <v>3185.04</v>
      </c>
      <c r="I289" s="2">
        <v>10.119999999999999</v>
      </c>
      <c r="J289" s="2">
        <v>44.7</v>
      </c>
      <c r="K289" s="2">
        <f ca="1">IFERROR(__xludf.DUMMYFUNCTION("IF($A289="""","""", IFERROR(
  INDEX(
    FILTER(IMEX_VN!$B$2:$B$130, MONTH(IMEX_VN!$A$2:$A$130)=MONTH($A289), YEAR(IMEX_VN!$A$2:$A$130)=YEAR($A289)),
    1
  ),
""""))"),2.79999999999999)</f>
        <v>2.7999999999999901</v>
      </c>
      <c r="L289" s="6">
        <v>97</v>
      </c>
      <c r="M289" s="7">
        <v>81.099999999999994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8">
        <v>44024</v>
      </c>
      <c r="B290" s="9">
        <v>23191</v>
      </c>
      <c r="C290" s="2">
        <f ca="1">IFERROR(__xludf.DUMMYFUNCTION("IF($A290="""","""", IFERROR(
  INDEX(
    FILTER(CPI_VN!$C$2:$C$82, MONTH(CPI_VN!$A$2:$A$82)=MONTH($A290), YEAR(CPI_VN!$A$2:$A$82)=YEAR($A290)),
    1
  ),
""""))"),3.39)</f>
        <v>3.39</v>
      </c>
      <c r="D290" s="2">
        <f ca="1">IFERROR(__xludf.DUMMYFUNCTION("IF($A290="""","""", IFERROR(
  INDEX(
    FILTER(CPI_US!$D$2:$D$130, MONTH(CPI_US!$A$2:$A$130)=MONTH($A290), YEAR(CPI_US!$A$2:$A$130)=YEAR($A290)),
    1
  ),
""""))"),0.6)</f>
        <v>0.6</v>
      </c>
      <c r="E290" s="2">
        <v>2.8809999999999998</v>
      </c>
      <c r="F290" s="2">
        <v>0.09</v>
      </c>
      <c r="G290" s="2">
        <v>798</v>
      </c>
      <c r="H290" s="2">
        <v>3224.73</v>
      </c>
      <c r="I290" s="2">
        <v>10.119999999999999</v>
      </c>
      <c r="J290" s="2">
        <v>44.7</v>
      </c>
      <c r="K290" s="2">
        <f ca="1">IFERROR(__xludf.DUMMYFUNCTION("IF($A290="""","""", IFERROR(
  INDEX(
    FILTER(IMEX_VN!$B$2:$B$130, MONTH(IMEX_VN!$A$2:$A$130)=MONTH($A290), YEAR(IMEX_VN!$A$2:$A$130)=YEAR($A290)),
    1
  ),
""""))"),2.79999999999999)</f>
        <v>2.7999999999999901</v>
      </c>
      <c r="L290" s="6">
        <v>96</v>
      </c>
      <c r="M290" s="7">
        <v>81.099999999999994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8">
        <v>44031</v>
      </c>
      <c r="B291" s="9">
        <v>23175</v>
      </c>
      <c r="C291" s="2">
        <f ca="1">IFERROR(__xludf.DUMMYFUNCTION("IF($A291="""","""", IFERROR(
  INDEX(
    FILTER(CPI_VN!$C$2:$C$82, MONTH(CPI_VN!$A$2:$A$82)=MONTH($A291), YEAR(CPI_VN!$A$2:$A$82)=YEAR($A291)),
    1
  ),
""""))"),3.39)</f>
        <v>3.39</v>
      </c>
      <c r="D291" s="2">
        <f ca="1">IFERROR(__xludf.DUMMYFUNCTION("IF($A291="""","""", IFERROR(
  INDEX(
    FILTER(CPI_US!$D$2:$D$130, MONTH(CPI_US!$A$2:$A$130)=MONTH($A291), YEAR(CPI_US!$A$2:$A$130)=YEAR($A291)),
    1
  ),
""""))"),0.6)</f>
        <v>0.6</v>
      </c>
      <c r="E291" s="2">
        <v>2.8860000000000001</v>
      </c>
      <c r="F291" s="2">
        <v>0.09</v>
      </c>
      <c r="G291" s="2">
        <v>841</v>
      </c>
      <c r="H291" s="2">
        <v>3215.63</v>
      </c>
      <c r="I291" s="2">
        <v>10.119999999999999</v>
      </c>
      <c r="J291" s="2">
        <v>44.7</v>
      </c>
      <c r="K291" s="2">
        <f ca="1">IFERROR(__xludf.DUMMYFUNCTION("IF($A291="""","""", IFERROR(
  INDEX(
    FILTER(IMEX_VN!$B$2:$B$130, MONTH(IMEX_VN!$A$2:$A$130)=MONTH($A291), YEAR(IMEX_VN!$A$2:$A$130)=YEAR($A291)),
    1
  ),
""""))"),2.79999999999999)</f>
        <v>2.7999999999999901</v>
      </c>
      <c r="L291" s="6">
        <v>94</v>
      </c>
      <c r="M291" s="7">
        <v>81.099999999999994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8">
        <v>44038</v>
      </c>
      <c r="B292" s="9">
        <v>23170</v>
      </c>
      <c r="C292" s="2">
        <f ca="1">IFERROR(__xludf.DUMMYFUNCTION("IF($A292="""","""", IFERROR(
  INDEX(
    FILTER(CPI_VN!$C$2:$C$82, MONTH(CPI_VN!$A$2:$A$82)=MONTH($A292), YEAR(CPI_VN!$A$2:$A$82)=YEAR($A292)),
    1
  ),
""""))"),3.39)</f>
        <v>3.39</v>
      </c>
      <c r="D292" s="2">
        <f ca="1">IFERROR(__xludf.DUMMYFUNCTION("IF($A292="""","""", IFERROR(
  INDEX(
    FILTER(CPI_US!$D$2:$D$130, MONTH(CPI_US!$A$2:$A$130)=MONTH($A292), YEAR(CPI_US!$A$2:$A$130)=YEAR($A292)),
    1
  ),
""""))"),0.6)</f>
        <v>0.6</v>
      </c>
      <c r="E292" s="2">
        <v>2.9660000000000002</v>
      </c>
      <c r="F292" s="2">
        <v>0.09</v>
      </c>
      <c r="G292" s="2">
        <v>850</v>
      </c>
      <c r="H292" s="2">
        <v>3271.12</v>
      </c>
      <c r="I292" s="2">
        <v>10.119999999999999</v>
      </c>
      <c r="J292" s="2">
        <v>44.7</v>
      </c>
      <c r="K292" s="2">
        <f ca="1">IFERROR(__xludf.DUMMYFUNCTION("IF($A292="""","""", IFERROR(
  INDEX(
    FILTER(IMEX_VN!$B$2:$B$130, MONTH(IMEX_VN!$A$2:$A$130)=MONTH($A292), YEAR(IMEX_VN!$A$2:$A$130)=YEAR($A292)),
    1
  ),
""""))"),2.79999999999999)</f>
        <v>2.7999999999999901</v>
      </c>
      <c r="L292" s="6">
        <v>93</v>
      </c>
      <c r="M292" s="7">
        <v>81.099999999999994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8">
        <v>44045</v>
      </c>
      <c r="B293" s="9">
        <v>23173</v>
      </c>
      <c r="C293" s="2">
        <f ca="1">IFERROR(__xludf.DUMMYFUNCTION("IF($A293="""","""", IFERROR(
  INDEX(
    FILTER(CPI_VN!$C$2:$C$82, MONTH(CPI_VN!$A$2:$A$82)=MONTH($A293), YEAR(CPI_VN!$A$2:$A$82)=YEAR($A293)),
    1
  ),
""""))"),3.18)</f>
        <v>3.18</v>
      </c>
      <c r="D293" s="2">
        <f ca="1">IFERROR(__xludf.DUMMYFUNCTION("IF($A293="""","""", IFERROR(
  INDEX(
    FILTER(CPI_US!$D$2:$D$130, MONTH(CPI_US!$A$2:$A$130)=MONTH($A293), YEAR(CPI_US!$A$2:$A$130)=YEAR($A293)),
    1
  ),
""""))"),1)</f>
        <v>1</v>
      </c>
      <c r="E293" s="2">
        <v>2.8849999999999998</v>
      </c>
      <c r="F293" s="2">
        <v>0.1</v>
      </c>
      <c r="G293" s="2">
        <v>854</v>
      </c>
      <c r="H293" s="2">
        <v>3351.28</v>
      </c>
      <c r="I293" s="2">
        <v>11.35</v>
      </c>
      <c r="J293" s="2">
        <v>44.7</v>
      </c>
      <c r="K293" s="2">
        <f ca="1">IFERROR(__xludf.DUMMYFUNCTION("IF($A293="""","""", IFERROR(
  INDEX(
    FILTER(IMEX_VN!$B$2:$B$130, MONTH(IMEX_VN!$A$2:$A$130)=MONTH($A293), YEAR(IMEX_VN!$A$2:$A$130)=YEAR($A293)),
    1
  ),
""""))"),5)</f>
        <v>5</v>
      </c>
      <c r="L293" s="6">
        <v>93</v>
      </c>
      <c r="M293" s="7">
        <v>87.8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8">
        <v>44052</v>
      </c>
      <c r="B294" s="9">
        <v>23174</v>
      </c>
      <c r="C294" s="2">
        <f ca="1">IFERROR(__xludf.DUMMYFUNCTION("IF($A294="""","""", IFERROR(
  INDEX(
    FILTER(CPI_VN!$C$2:$C$82, MONTH(CPI_VN!$A$2:$A$82)=MONTH($A294), YEAR(CPI_VN!$A$2:$A$82)=YEAR($A294)),
    1
  ),
""""))"),3.18)</f>
        <v>3.18</v>
      </c>
      <c r="D294" s="2">
        <f ca="1">IFERROR(__xludf.DUMMYFUNCTION("IF($A294="""","""", IFERROR(
  INDEX(
    FILTER(CPI_US!$D$2:$D$130, MONTH(CPI_US!$A$2:$A$130)=MONTH($A294), YEAR(CPI_US!$A$2:$A$130)=YEAR($A294)),
    1
  ),
""""))"),1)</f>
        <v>1</v>
      </c>
      <c r="E294" s="2">
        <v>2.8889999999999998</v>
      </c>
      <c r="F294" s="2">
        <v>0.1</v>
      </c>
      <c r="G294" s="2">
        <v>878</v>
      </c>
      <c r="H294" s="2">
        <v>3372.85</v>
      </c>
      <c r="I294" s="2">
        <v>11.35</v>
      </c>
      <c r="J294" s="2">
        <v>44.7</v>
      </c>
      <c r="K294" s="2">
        <f ca="1">IFERROR(__xludf.DUMMYFUNCTION("IF($A294="""","""", IFERROR(
  INDEX(
    FILTER(IMEX_VN!$B$2:$B$130, MONTH(IMEX_VN!$A$2:$A$130)=MONTH($A294), YEAR(IMEX_VN!$A$2:$A$130)=YEAR($A294)),
    1
  ),
""""))"),5)</f>
        <v>5</v>
      </c>
      <c r="L294" s="6">
        <v>93</v>
      </c>
      <c r="M294" s="7">
        <v>87.8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8">
        <v>44059</v>
      </c>
      <c r="B295" s="9">
        <v>23175</v>
      </c>
      <c r="C295" s="2">
        <f ca="1">IFERROR(__xludf.DUMMYFUNCTION("IF($A295="""","""", IFERROR(
  INDEX(
    FILTER(CPI_VN!$C$2:$C$82, MONTH(CPI_VN!$A$2:$A$82)=MONTH($A295), YEAR(CPI_VN!$A$2:$A$82)=YEAR($A295)),
    1
  ),
""""))"),3.18)</f>
        <v>3.18</v>
      </c>
      <c r="D295" s="2">
        <f ca="1">IFERROR(__xludf.DUMMYFUNCTION("IF($A295="""","""", IFERROR(
  INDEX(
    FILTER(CPI_US!$D$2:$D$130, MONTH(CPI_US!$A$2:$A$130)=MONTH($A295), YEAR(CPI_US!$A$2:$A$130)=YEAR($A295)),
    1
  ),
""""))"),1)</f>
        <v>1</v>
      </c>
      <c r="E295" s="2">
        <v>2.8860000000000001</v>
      </c>
      <c r="F295" s="2">
        <v>0.1</v>
      </c>
      <c r="G295" s="2">
        <v>901</v>
      </c>
      <c r="H295" s="2">
        <v>3397.16</v>
      </c>
      <c r="I295" s="2">
        <v>11.35</v>
      </c>
      <c r="J295" s="2">
        <v>44.7</v>
      </c>
      <c r="K295" s="2">
        <f ca="1">IFERROR(__xludf.DUMMYFUNCTION("IF($A295="""","""", IFERROR(
  INDEX(
    FILTER(IMEX_VN!$B$2:$B$130, MONTH(IMEX_VN!$A$2:$A$130)=MONTH($A295), YEAR(IMEX_VN!$A$2:$A$130)=YEAR($A295)),
    1
  ),
""""))"),5)</f>
        <v>5</v>
      </c>
      <c r="L295" s="6">
        <v>93</v>
      </c>
      <c r="M295" s="7">
        <v>87.8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8">
        <v>44066</v>
      </c>
      <c r="B296" s="9">
        <v>23174</v>
      </c>
      <c r="C296" s="2">
        <f ca="1">IFERROR(__xludf.DUMMYFUNCTION("IF($A296="""","""", IFERROR(
  INDEX(
    FILTER(CPI_VN!$C$2:$C$82, MONTH(CPI_VN!$A$2:$A$82)=MONTH($A296), YEAR(CPI_VN!$A$2:$A$82)=YEAR($A296)),
    1
  ),
""""))"),3.18)</f>
        <v>3.18</v>
      </c>
      <c r="D296" s="2">
        <f ca="1">IFERROR(__xludf.DUMMYFUNCTION("IF($A296="""","""", IFERROR(
  INDEX(
    FILTER(CPI_US!$D$2:$D$130, MONTH(CPI_US!$A$2:$A$130)=MONTH($A296), YEAR(CPI_US!$A$2:$A$130)=YEAR($A296)),
    1
  ),
""""))"),1)</f>
        <v>1</v>
      </c>
      <c r="E296" s="2">
        <v>2.8820000000000001</v>
      </c>
      <c r="F296" s="2">
        <v>0.09</v>
      </c>
      <c r="G296" s="2">
        <v>888</v>
      </c>
      <c r="H296" s="2">
        <v>3508.01</v>
      </c>
      <c r="I296" s="2">
        <v>11.35</v>
      </c>
      <c r="J296" s="2">
        <v>44.7</v>
      </c>
      <c r="K296" s="2">
        <f ca="1">IFERROR(__xludf.DUMMYFUNCTION("IF($A296="""","""", IFERROR(
  INDEX(
    FILTER(IMEX_VN!$B$2:$B$130, MONTH(IMEX_VN!$A$2:$A$130)=MONTH($A296), YEAR(IMEX_VN!$A$2:$A$130)=YEAR($A296)),
    1
  ),
""""))"),5)</f>
        <v>5</v>
      </c>
      <c r="L296" s="6">
        <v>92</v>
      </c>
      <c r="M296" s="7">
        <v>87.8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8">
        <v>44073</v>
      </c>
      <c r="B297" s="9">
        <v>23178</v>
      </c>
      <c r="C297" s="2">
        <f ca="1">IFERROR(__xludf.DUMMYFUNCTION("IF($A297="""","""", IFERROR(
  INDEX(
    FILTER(CPI_VN!$C$2:$C$82, MONTH(CPI_VN!$A$2:$A$82)=MONTH($A297), YEAR(CPI_VN!$A$2:$A$82)=YEAR($A297)),
    1
  ),
""""))"),3.18)</f>
        <v>3.18</v>
      </c>
      <c r="D297" s="2">
        <f ca="1">IFERROR(__xludf.DUMMYFUNCTION("IF($A297="""","""", IFERROR(
  INDEX(
    FILTER(CPI_US!$D$2:$D$130, MONTH(CPI_US!$A$2:$A$130)=MONTH($A297), YEAR(CPI_US!$A$2:$A$130)=YEAR($A297)),
    1
  ),
""""))"),1)</f>
        <v>1</v>
      </c>
      <c r="E297" s="2">
        <v>2.9140000000000001</v>
      </c>
      <c r="F297" s="2">
        <v>0.09</v>
      </c>
      <c r="G297" s="2">
        <v>900</v>
      </c>
      <c r="H297" s="2">
        <v>3426.96</v>
      </c>
      <c r="I297" s="2">
        <v>11.35</v>
      </c>
      <c r="J297" s="2">
        <v>44.7</v>
      </c>
      <c r="K297" s="2">
        <f ca="1">IFERROR(__xludf.DUMMYFUNCTION("IF($A297="""","""", IFERROR(
  INDEX(
    FILTER(IMEX_VN!$B$2:$B$130, MONTH(IMEX_VN!$A$2:$A$130)=MONTH($A297), YEAR(IMEX_VN!$A$2:$A$130)=YEAR($A297)),
    1
  ),
""""))"),5)</f>
        <v>5</v>
      </c>
      <c r="L297" s="6">
        <v>93</v>
      </c>
      <c r="M297" s="7">
        <v>87.8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8">
        <v>44080</v>
      </c>
      <c r="B298" s="9">
        <v>23174</v>
      </c>
      <c r="C298" s="2">
        <f ca="1">IFERROR(__xludf.DUMMYFUNCTION("IF($A298="""","""", IFERROR(
  INDEX(
    FILTER(CPI_VN!$C$2:$C$82, MONTH(CPI_VN!$A$2:$A$82)=MONTH($A298), YEAR(CPI_VN!$A$2:$A$82)=YEAR($A298)),
    1
  ),
""""))"),2.98)</f>
        <v>2.98</v>
      </c>
      <c r="D298" s="2">
        <f ca="1">IFERROR(__xludf.DUMMYFUNCTION("IF($A298="""","""", IFERROR(
  INDEX(
    FILTER(CPI_US!$D$2:$D$130, MONTH(CPI_US!$A$2:$A$130)=MONTH($A298), YEAR(CPI_US!$A$2:$A$130)=YEAR($A298)),
    1
  ),
""""))"),1.3)</f>
        <v>1.3</v>
      </c>
      <c r="E298" s="2">
        <v>2.8780000000000001</v>
      </c>
      <c r="F298" s="2">
        <v>0.09</v>
      </c>
      <c r="G298" s="2">
        <v>908</v>
      </c>
      <c r="H298" s="2">
        <v>3340.97</v>
      </c>
      <c r="I298" s="2">
        <v>13.76</v>
      </c>
      <c r="J298" s="2">
        <v>44.7</v>
      </c>
      <c r="K298" s="2">
        <f ca="1">IFERROR(__xludf.DUMMYFUNCTION("IF($A298="""","""", IFERROR(
  INDEX(
    FILTER(IMEX_VN!$B$2:$B$130, MONTH(IMEX_VN!$A$2:$A$130)=MONTH($A298), YEAR(IMEX_VN!$A$2:$A$130)=YEAR($A298)),
    1
  ),
""""))"),3)</f>
        <v>3</v>
      </c>
      <c r="L298" s="6">
        <v>93</v>
      </c>
      <c r="M298" s="7">
        <v>88.4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8">
        <v>44087</v>
      </c>
      <c r="B299" s="9">
        <v>23170</v>
      </c>
      <c r="C299" s="2">
        <f ca="1">IFERROR(__xludf.DUMMYFUNCTION("IF($A299="""","""", IFERROR(
  INDEX(
    FILTER(CPI_VN!$C$2:$C$82, MONTH(CPI_VN!$A$2:$A$82)=MONTH($A299), YEAR(CPI_VN!$A$2:$A$82)=YEAR($A299)),
    1
  ),
""""))"),2.98)</f>
        <v>2.98</v>
      </c>
      <c r="D299" s="2">
        <f ca="1">IFERROR(__xludf.DUMMYFUNCTION("IF($A299="""","""", IFERROR(
  INDEX(
    FILTER(CPI_US!$D$2:$D$130, MONTH(CPI_US!$A$2:$A$130)=MONTH($A299), YEAR(CPI_US!$A$2:$A$130)=YEAR($A299)),
    1
  ),
""""))"),1.3)</f>
        <v>1.3</v>
      </c>
      <c r="E299" s="2">
        <v>2.8029999999999999</v>
      </c>
      <c r="F299" s="2">
        <v>0.09</v>
      </c>
      <c r="G299" s="2">
        <v>909</v>
      </c>
      <c r="H299" s="2">
        <v>3319.47</v>
      </c>
      <c r="I299" s="2">
        <v>13.76</v>
      </c>
      <c r="J299" s="2">
        <v>44.7</v>
      </c>
      <c r="K299" s="2">
        <f ca="1">IFERROR(__xludf.DUMMYFUNCTION("IF($A299="""","""", IFERROR(
  INDEX(
    FILTER(IMEX_VN!$B$2:$B$130, MONTH(IMEX_VN!$A$2:$A$130)=MONTH($A299), YEAR(IMEX_VN!$A$2:$A$130)=YEAR($A299)),
    1
  ),
""""))"),3)</f>
        <v>3</v>
      </c>
      <c r="L299" s="6">
        <v>93</v>
      </c>
      <c r="M299" s="7">
        <v>88.4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8">
        <v>44094</v>
      </c>
      <c r="B300" s="9">
        <v>23191</v>
      </c>
      <c r="C300" s="2">
        <f ca="1">IFERROR(__xludf.DUMMYFUNCTION("IF($A300="""","""", IFERROR(
  INDEX(
    FILTER(CPI_VN!$C$2:$C$82, MONTH(CPI_VN!$A$2:$A$82)=MONTH($A300), YEAR(CPI_VN!$A$2:$A$82)=YEAR($A300)),
    1
  ),
""""))"),2.98)</f>
        <v>2.98</v>
      </c>
      <c r="D300" s="2">
        <f ca="1">IFERROR(__xludf.DUMMYFUNCTION("IF($A300="""","""", IFERROR(
  INDEX(
    FILTER(CPI_US!$D$2:$D$130, MONTH(CPI_US!$A$2:$A$130)=MONTH($A300), YEAR(CPI_US!$A$2:$A$130)=YEAR($A300)),
    1
  ),
""""))"),1.3)</f>
        <v>1.3</v>
      </c>
      <c r="E300" s="2">
        <v>2.7709999999999999</v>
      </c>
      <c r="F300" s="2">
        <v>0.09</v>
      </c>
      <c r="G300" s="2">
        <v>924</v>
      </c>
      <c r="H300" s="2">
        <v>3298.46</v>
      </c>
      <c r="I300" s="2">
        <v>13.76</v>
      </c>
      <c r="J300" s="2">
        <v>44.7</v>
      </c>
      <c r="K300" s="2">
        <f ca="1">IFERROR(__xludf.DUMMYFUNCTION("IF($A300="""","""", IFERROR(
  INDEX(
    FILTER(IMEX_VN!$B$2:$B$130, MONTH(IMEX_VN!$A$2:$A$130)=MONTH($A300), YEAR(IMEX_VN!$A$2:$A$130)=YEAR($A300)),
    1
  ),
""""))"),3)</f>
        <v>3</v>
      </c>
      <c r="L300" s="6">
        <v>95</v>
      </c>
      <c r="M300" s="7">
        <v>88.4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8">
        <v>44101</v>
      </c>
      <c r="B301" s="9">
        <v>23191</v>
      </c>
      <c r="C301" s="2">
        <f ca="1">IFERROR(__xludf.DUMMYFUNCTION("IF($A301="""","""", IFERROR(
  INDEX(
    FILTER(CPI_VN!$C$2:$C$82, MONTH(CPI_VN!$A$2:$A$82)=MONTH($A301), YEAR(CPI_VN!$A$2:$A$82)=YEAR($A301)),
    1
  ),
""""))"),2.98)</f>
        <v>2.98</v>
      </c>
      <c r="D301" s="2">
        <f ca="1">IFERROR(__xludf.DUMMYFUNCTION("IF($A301="""","""", IFERROR(
  INDEX(
    FILTER(CPI_US!$D$2:$D$130, MONTH(CPI_US!$A$2:$A$130)=MONTH($A301), YEAR(CPI_US!$A$2:$A$130)=YEAR($A301)),
    1
  ),
""""))"),1.3)</f>
        <v>1.3</v>
      </c>
      <c r="E301" s="2">
        <v>2.4580000000000002</v>
      </c>
      <c r="F301" s="2">
        <v>0.09</v>
      </c>
      <c r="G301" s="2">
        <v>943</v>
      </c>
      <c r="H301" s="2">
        <v>3348.44</v>
      </c>
      <c r="I301" s="2">
        <v>13.76</v>
      </c>
      <c r="J301" s="2">
        <v>44.7</v>
      </c>
      <c r="K301" s="2">
        <f ca="1">IFERROR(__xludf.DUMMYFUNCTION("IF($A301="""","""", IFERROR(
  INDEX(
    FILTER(IMEX_VN!$B$2:$B$130, MONTH(IMEX_VN!$A$2:$A$130)=MONTH($A301), YEAR(IMEX_VN!$A$2:$A$130)=YEAR($A301)),
    1
  ),
""""))"),3)</f>
        <v>3</v>
      </c>
      <c r="L301" s="6">
        <v>94</v>
      </c>
      <c r="M301" s="7">
        <v>88.4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8">
        <v>44108</v>
      </c>
      <c r="B302" s="9">
        <v>23180</v>
      </c>
      <c r="C302" s="2">
        <f ca="1">IFERROR(__xludf.DUMMYFUNCTION("IF($A302="""","""", IFERROR(
  INDEX(
    FILTER(CPI_VN!$C$2:$C$82, MONTH(CPI_VN!$A$2:$A$82)=MONTH($A302), YEAR(CPI_VN!$A$2:$A$82)=YEAR($A302)),
    1
  ),
""""))"),2.47)</f>
        <v>2.4700000000000002</v>
      </c>
      <c r="D302" s="2">
        <f ca="1">IFERROR(__xludf.DUMMYFUNCTION("IF($A302="""","""", IFERROR(
  INDEX(
    FILTER(CPI_US!$D$2:$D$130, MONTH(CPI_US!$A$2:$A$130)=MONTH($A302), YEAR(CPI_US!$A$2:$A$130)=YEAR($A302)),
    1
  ),
""""))"),1.4)</f>
        <v>1.4</v>
      </c>
      <c r="E302" s="2">
        <v>2.5289999999999999</v>
      </c>
      <c r="F302" s="2">
        <v>0.09</v>
      </c>
      <c r="G302" s="2">
        <v>961</v>
      </c>
      <c r="H302" s="2">
        <v>3477.13</v>
      </c>
      <c r="I302" s="2">
        <v>15.8</v>
      </c>
      <c r="J302" s="2">
        <v>53.7</v>
      </c>
      <c r="K302" s="2">
        <f ca="1">IFERROR(__xludf.DUMMYFUNCTION("IF($A302="""","""", IFERROR(
  INDEX(
    FILTER(IMEX_VN!$B$2:$B$130, MONTH(IMEX_VN!$A$2:$A$130)=MONTH($A302), YEAR(IMEX_VN!$A$2:$A$130)=YEAR($A302)),
    1
  ),
""""))"),3)</f>
        <v>3</v>
      </c>
      <c r="L302" s="6">
        <v>93</v>
      </c>
      <c r="M302" s="7">
        <v>90.1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8">
        <v>44115</v>
      </c>
      <c r="B303" s="9">
        <v>23175</v>
      </c>
      <c r="C303" s="2">
        <f ca="1">IFERROR(__xludf.DUMMYFUNCTION("IF($A303="""","""", IFERROR(
  INDEX(
    FILTER(CPI_VN!$C$2:$C$82, MONTH(CPI_VN!$A$2:$A$82)=MONTH($A303), YEAR(CPI_VN!$A$2:$A$82)=YEAR($A303)),
    1
  ),
""""))"),2.47)</f>
        <v>2.4700000000000002</v>
      </c>
      <c r="D303" s="2">
        <f ca="1">IFERROR(__xludf.DUMMYFUNCTION("IF($A303="""","""", IFERROR(
  INDEX(
    FILTER(CPI_US!$D$2:$D$130, MONTH(CPI_US!$A$2:$A$130)=MONTH($A303), YEAR(CPI_US!$A$2:$A$130)=YEAR($A303)),
    1
  ),
""""))"),1.4)</f>
        <v>1.4</v>
      </c>
      <c r="E303" s="2">
        <v>2.5489999999999999</v>
      </c>
      <c r="F303" s="2">
        <v>0.09</v>
      </c>
      <c r="G303" s="2">
        <v>925</v>
      </c>
      <c r="H303" s="2">
        <v>3483.81</v>
      </c>
      <c r="I303" s="2">
        <v>15.8</v>
      </c>
      <c r="J303" s="2">
        <v>53.7</v>
      </c>
      <c r="K303" s="2">
        <f ca="1">IFERROR(__xludf.DUMMYFUNCTION("IF($A303="""","""", IFERROR(
  INDEX(
    FILTER(IMEX_VN!$B$2:$B$130, MONTH(IMEX_VN!$A$2:$A$130)=MONTH($A303), YEAR(IMEX_VN!$A$2:$A$130)=YEAR($A303)),
    1
  ),
""""))"),3)</f>
        <v>3</v>
      </c>
      <c r="L303" s="6">
        <v>94</v>
      </c>
      <c r="M303" s="7">
        <v>90.1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8">
        <v>44122</v>
      </c>
      <c r="B304" s="9">
        <v>23176</v>
      </c>
      <c r="C304" s="2">
        <f ca="1">IFERROR(__xludf.DUMMYFUNCTION("IF($A304="""","""", IFERROR(
  INDEX(
    FILTER(CPI_VN!$C$2:$C$82, MONTH(CPI_VN!$A$2:$A$82)=MONTH($A304), YEAR(CPI_VN!$A$2:$A$82)=YEAR($A304)),
    1
  ),
""""))"),2.47)</f>
        <v>2.4700000000000002</v>
      </c>
      <c r="D304" s="2">
        <f ca="1">IFERROR(__xludf.DUMMYFUNCTION("IF($A304="""","""", IFERROR(
  INDEX(
    FILTER(CPI_US!$D$2:$D$130, MONTH(CPI_US!$A$2:$A$130)=MONTH($A304), YEAR(CPI_US!$A$2:$A$130)=YEAR($A304)),
    1
  ),
""""))"),1.4)</f>
        <v>1.4</v>
      </c>
      <c r="E304" s="2">
        <v>2.5529999999999999</v>
      </c>
      <c r="F304" s="2">
        <v>0.09</v>
      </c>
      <c r="G304" s="2">
        <v>938</v>
      </c>
      <c r="H304" s="2">
        <v>3465.39</v>
      </c>
      <c r="I304" s="2">
        <v>15.8</v>
      </c>
      <c r="J304" s="2">
        <v>53.7</v>
      </c>
      <c r="K304" s="2">
        <f ca="1">IFERROR(__xludf.DUMMYFUNCTION("IF($A304="""","""", IFERROR(
  INDEX(
    FILTER(IMEX_VN!$B$2:$B$130, MONTH(IMEX_VN!$A$2:$A$130)=MONTH($A304), YEAR(IMEX_VN!$A$2:$A$130)=YEAR($A304)),
    1
  ),
""""))"),3)</f>
        <v>3</v>
      </c>
      <c r="L304" s="6">
        <v>93</v>
      </c>
      <c r="M304" s="7">
        <v>90.1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8">
        <v>44129</v>
      </c>
      <c r="B305" s="9">
        <v>23180</v>
      </c>
      <c r="C305" s="2">
        <f ca="1">IFERROR(__xludf.DUMMYFUNCTION("IF($A305="""","""", IFERROR(
  INDEX(
    FILTER(CPI_VN!$C$2:$C$82, MONTH(CPI_VN!$A$2:$A$82)=MONTH($A305), YEAR(CPI_VN!$A$2:$A$82)=YEAR($A305)),
    1
  ),
""""))"),2.47)</f>
        <v>2.4700000000000002</v>
      </c>
      <c r="D305" s="2">
        <f ca="1">IFERROR(__xludf.DUMMYFUNCTION("IF($A305="""","""", IFERROR(
  INDEX(
    FILTER(CPI_US!$D$2:$D$130, MONTH(CPI_US!$A$2:$A$130)=MONTH($A305), YEAR(CPI_US!$A$2:$A$130)=YEAR($A305)),
    1
  ),
""""))"),1.4)</f>
        <v>1.4</v>
      </c>
      <c r="E305" s="2">
        <v>2.5739999999999998</v>
      </c>
      <c r="F305" s="2">
        <v>0.09</v>
      </c>
      <c r="G305" s="2">
        <v>966</v>
      </c>
      <c r="H305" s="2">
        <v>3269.96</v>
      </c>
      <c r="I305" s="2">
        <v>15.8</v>
      </c>
      <c r="J305" s="2">
        <v>53.7</v>
      </c>
      <c r="K305" s="2">
        <f ca="1">IFERROR(__xludf.DUMMYFUNCTION("IF($A305="""","""", IFERROR(
  INDEX(
    FILTER(IMEX_VN!$B$2:$B$130, MONTH(IMEX_VN!$A$2:$A$130)=MONTH($A305), YEAR(IMEX_VN!$A$2:$A$130)=YEAR($A305)),
    1
  ),
""""))"),3)</f>
        <v>3</v>
      </c>
      <c r="L305" s="6">
        <v>94</v>
      </c>
      <c r="M305" s="7">
        <v>90.1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8">
        <v>44136</v>
      </c>
      <c r="B306" s="9">
        <v>23176</v>
      </c>
      <c r="C306" s="2">
        <f ca="1">IFERROR(__xludf.DUMMYFUNCTION("IF($A306="""","""", IFERROR(
  INDEX(
    FILTER(CPI_VN!$C$2:$C$82, MONTH(CPI_VN!$A$2:$A$82)=MONTH($A306), YEAR(CPI_VN!$A$2:$A$82)=YEAR($A306)),
    1
  ),
""""))"),1.48)</f>
        <v>1.48</v>
      </c>
      <c r="D306" s="2">
        <f ca="1">IFERROR(__xludf.DUMMYFUNCTION("IF($A306="""","""", IFERROR(
  INDEX(
    FILTER(CPI_US!$D$2:$D$130, MONTH(CPI_US!$A$2:$A$130)=MONTH($A306), YEAR(CPI_US!$A$2:$A$130)=YEAR($A306)),
    1
  ),
""""))"),1.2)</f>
        <v>1.2</v>
      </c>
      <c r="E306" s="2">
        <v>2.5750000000000002</v>
      </c>
      <c r="F306" s="2">
        <v>0.09</v>
      </c>
      <c r="G306" s="2">
        <v>990</v>
      </c>
      <c r="H306" s="2">
        <v>3509.44</v>
      </c>
      <c r="I306" s="2">
        <v>17.2</v>
      </c>
      <c r="J306" s="2">
        <v>53.7</v>
      </c>
      <c r="K306" s="2">
        <f ca="1">IFERROR(__xludf.DUMMYFUNCTION("IF($A306="""","""", IFERROR(
  INDEX(
    FILTER(IMEX_VN!$B$2:$B$130, MONTH(IMEX_VN!$A$2:$A$130)=MONTH($A306), YEAR(IMEX_VN!$A$2:$A$130)=YEAR($A306)),
    1
  ),
""""))"),0.5)</f>
        <v>0.5</v>
      </c>
      <c r="L306" s="6">
        <v>92</v>
      </c>
      <c r="M306" s="7">
        <v>92.5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8">
        <v>44143</v>
      </c>
      <c r="B307" s="9">
        <v>23175</v>
      </c>
      <c r="C307" s="2">
        <f ca="1">IFERROR(__xludf.DUMMYFUNCTION("IF($A307="""","""", IFERROR(
  INDEX(
    FILTER(CPI_VN!$C$2:$C$82, MONTH(CPI_VN!$A$2:$A$82)=MONTH($A307), YEAR(CPI_VN!$A$2:$A$82)=YEAR($A307)),
    1
  ),
""""))"),1.48)</f>
        <v>1.48</v>
      </c>
      <c r="D307" s="2">
        <f ca="1">IFERROR(__xludf.DUMMYFUNCTION("IF($A307="""","""", IFERROR(
  INDEX(
    FILTER(CPI_US!$D$2:$D$130, MONTH(CPI_US!$A$2:$A$130)=MONTH($A307), YEAR(CPI_US!$A$2:$A$130)=YEAR($A307)),
    1
  ),
""""))"),1.2)</f>
        <v>1.2</v>
      </c>
      <c r="E307" s="2">
        <v>2.5760000000000001</v>
      </c>
      <c r="F307" s="2">
        <v>0.09</v>
      </c>
      <c r="G307" s="2">
        <v>1010</v>
      </c>
      <c r="H307" s="2">
        <v>3585.15</v>
      </c>
      <c r="I307" s="2">
        <v>17.2</v>
      </c>
      <c r="J307" s="2">
        <v>53.7</v>
      </c>
      <c r="K307" s="2">
        <f ca="1">IFERROR(__xludf.DUMMYFUNCTION("IF($A307="""","""", IFERROR(
  INDEX(
    FILTER(IMEX_VN!$B$2:$B$130, MONTH(IMEX_VN!$A$2:$A$130)=MONTH($A307), YEAR(IMEX_VN!$A$2:$A$130)=YEAR($A307)),
    1
  ),
""""))"),0.5)</f>
        <v>0.5</v>
      </c>
      <c r="L307" s="6">
        <v>93</v>
      </c>
      <c r="M307" s="7">
        <v>92.5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8">
        <v>44150</v>
      </c>
      <c r="B308" s="9">
        <v>23176</v>
      </c>
      <c r="C308" s="2">
        <f ca="1">IFERROR(__xludf.DUMMYFUNCTION("IF($A308="""","""", IFERROR(
  INDEX(
    FILTER(CPI_VN!$C$2:$C$82, MONTH(CPI_VN!$A$2:$A$82)=MONTH($A308), YEAR(CPI_VN!$A$2:$A$82)=YEAR($A308)),
    1
  ),
""""))"),1.48)</f>
        <v>1.48</v>
      </c>
      <c r="D308" s="2">
        <f ca="1">IFERROR(__xludf.DUMMYFUNCTION("IF($A308="""","""", IFERROR(
  INDEX(
    FILTER(CPI_US!$D$2:$D$130, MONTH(CPI_US!$A$2:$A$130)=MONTH($A308), YEAR(CPI_US!$A$2:$A$130)=YEAR($A308)),
    1
  ),
""""))"),1.2)</f>
        <v>1.2</v>
      </c>
      <c r="E308" s="2">
        <v>2.536</v>
      </c>
      <c r="F308" s="2">
        <v>0.09</v>
      </c>
      <c r="G308" s="2">
        <v>1021</v>
      </c>
      <c r="H308" s="2">
        <v>3557.54</v>
      </c>
      <c r="I308" s="2">
        <v>17.2</v>
      </c>
      <c r="J308" s="2">
        <v>53.7</v>
      </c>
      <c r="K308" s="2">
        <f ca="1">IFERROR(__xludf.DUMMYFUNCTION("IF($A308="""","""", IFERROR(
  INDEX(
    FILTER(IMEX_VN!$B$2:$B$130, MONTH(IMEX_VN!$A$2:$A$130)=MONTH($A308), YEAR(IMEX_VN!$A$2:$A$130)=YEAR($A308)),
    1
  ),
""""))"),0.5)</f>
        <v>0.5</v>
      </c>
      <c r="L308" s="6">
        <v>92</v>
      </c>
      <c r="M308" s="7">
        <v>92.5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8">
        <v>44157</v>
      </c>
      <c r="B309" s="9">
        <v>23160</v>
      </c>
      <c r="C309" s="2">
        <f ca="1">IFERROR(__xludf.DUMMYFUNCTION("IF($A309="""","""", IFERROR(
  INDEX(
    FILTER(CPI_VN!$C$2:$C$82, MONTH(CPI_VN!$A$2:$A$82)=MONTH($A309), YEAR(CPI_VN!$A$2:$A$82)=YEAR($A309)),
    1
  ),
""""))"),1.48)</f>
        <v>1.48</v>
      </c>
      <c r="D309" s="2">
        <f ca="1">IFERROR(__xludf.DUMMYFUNCTION("IF($A309="""","""", IFERROR(
  INDEX(
    FILTER(CPI_US!$D$2:$D$130, MONTH(CPI_US!$A$2:$A$130)=MONTH($A309), YEAR(CPI_US!$A$2:$A$130)=YEAR($A309)),
    1
  ),
""""))"),1.2)</f>
        <v>1.2</v>
      </c>
      <c r="E309" s="2">
        <v>2.4340000000000002</v>
      </c>
      <c r="F309" s="2">
        <v>0.08</v>
      </c>
      <c r="G309" s="2">
        <v>1045</v>
      </c>
      <c r="H309" s="2">
        <v>3638.35</v>
      </c>
      <c r="I309" s="2">
        <v>17.2</v>
      </c>
      <c r="J309" s="2">
        <v>53.7</v>
      </c>
      <c r="K309" s="2">
        <f ca="1">IFERROR(__xludf.DUMMYFUNCTION("IF($A309="""","""", IFERROR(
  INDEX(
    FILTER(IMEX_VN!$B$2:$B$130, MONTH(IMEX_VN!$A$2:$A$130)=MONTH($A309), YEAR(IMEX_VN!$A$2:$A$130)=YEAR($A309)),
    1
  ),
""""))"),0.5)</f>
        <v>0.5</v>
      </c>
      <c r="L309" s="6">
        <v>92</v>
      </c>
      <c r="M309" s="7">
        <v>92.5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8">
        <v>44164</v>
      </c>
      <c r="B310" s="9">
        <v>23130</v>
      </c>
      <c r="C310" s="2">
        <f ca="1">IFERROR(__xludf.DUMMYFUNCTION("IF($A310="""","""", IFERROR(
  INDEX(
    FILTER(CPI_VN!$C$2:$C$82, MONTH(CPI_VN!$A$2:$A$82)=MONTH($A310), YEAR(CPI_VN!$A$2:$A$82)=YEAR($A310)),
    1
  ),
""""))"),1.48)</f>
        <v>1.48</v>
      </c>
      <c r="D310" s="2">
        <f ca="1">IFERROR(__xludf.DUMMYFUNCTION("IF($A310="""","""", IFERROR(
  INDEX(
    FILTER(CPI_US!$D$2:$D$130, MONTH(CPI_US!$A$2:$A$130)=MONTH($A310), YEAR(CPI_US!$A$2:$A$130)=YEAR($A310)),
    1
  ),
""""))"),1.2)</f>
        <v>1.2</v>
      </c>
      <c r="E310" s="2">
        <v>2.379</v>
      </c>
      <c r="F310" s="2">
        <v>0.08</v>
      </c>
      <c r="G310" s="2">
        <v>1067</v>
      </c>
      <c r="H310" s="2">
        <v>3699.12</v>
      </c>
      <c r="I310" s="2">
        <v>17.2</v>
      </c>
      <c r="J310" s="2">
        <v>53.7</v>
      </c>
      <c r="K310" s="2">
        <f ca="1">IFERROR(__xludf.DUMMYFUNCTION("IF($A310="""","""", IFERROR(
  INDEX(
    FILTER(IMEX_VN!$B$2:$B$130, MONTH(IMEX_VN!$A$2:$A$130)=MONTH($A310), YEAR(IMEX_VN!$A$2:$A$130)=YEAR($A310)),
    1
  ),
""""))"),0.5)</f>
        <v>0.5</v>
      </c>
      <c r="L310" s="6">
        <v>91</v>
      </c>
      <c r="M310" s="7">
        <v>92.5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8">
        <v>44171</v>
      </c>
      <c r="B311" s="9">
        <v>23128</v>
      </c>
      <c r="C311" s="2">
        <f ca="1">IFERROR(__xludf.DUMMYFUNCTION("IF($A311="""","""", IFERROR(
  INDEX(
    FILTER(CPI_VN!$C$2:$C$82, MONTH(CPI_VN!$A$2:$A$82)=MONTH($A311), YEAR(CPI_VN!$A$2:$A$82)=YEAR($A311)),
    1
  ),
""""))"),0.19)</f>
        <v>0.19</v>
      </c>
      <c r="D311" s="2">
        <f ca="1">IFERROR(__xludf.DUMMYFUNCTION("IF($A311="""","""", IFERROR(
  INDEX(
    FILTER(CPI_US!$D$2:$D$130, MONTH(CPI_US!$A$2:$A$130)=MONTH($A311), YEAR(CPI_US!$A$2:$A$130)=YEAR($A311)),
    1
  ),
""""))"),1.2)</f>
        <v>1.2</v>
      </c>
      <c r="E311" s="2">
        <v>2.371</v>
      </c>
      <c r="F311" s="2">
        <v>0.09</v>
      </c>
      <c r="G311" s="2">
        <v>1084</v>
      </c>
      <c r="H311" s="2">
        <v>3663.46</v>
      </c>
      <c r="I311" s="2">
        <v>20</v>
      </c>
      <c r="J311" s="2">
        <v>53.7</v>
      </c>
      <c r="K311" s="2">
        <f ca="1">IFERROR(__xludf.DUMMYFUNCTION("IF($A311="""","""", IFERROR(
  INDEX(
    FILTER(IMEX_VN!$B$2:$B$130, MONTH(IMEX_VN!$A$2:$A$130)=MONTH($A311), YEAR(IMEX_VN!$A$2:$A$130)=YEAR($A311)),
    1
  ),
""""))"),-0.199999999999999)</f>
        <v>-0.19999999999999901</v>
      </c>
      <c r="L311" s="6">
        <v>91</v>
      </c>
      <c r="M311" s="7">
        <v>94.4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8">
        <v>44178</v>
      </c>
      <c r="B312" s="9">
        <v>23124</v>
      </c>
      <c r="C312" s="2">
        <f ca="1">IFERROR(__xludf.DUMMYFUNCTION("IF($A312="""","""", IFERROR(
  INDEX(
    FILTER(CPI_VN!$C$2:$C$82, MONTH(CPI_VN!$A$2:$A$82)=MONTH($A312), YEAR(CPI_VN!$A$2:$A$82)=YEAR($A312)),
    1
  ),
""""))"),0.19)</f>
        <v>0.19</v>
      </c>
      <c r="D312" s="2">
        <f ca="1">IFERROR(__xludf.DUMMYFUNCTION("IF($A312="""","""", IFERROR(
  INDEX(
    FILTER(CPI_US!$D$2:$D$130, MONTH(CPI_US!$A$2:$A$130)=MONTH($A312), YEAR(CPI_US!$A$2:$A$130)=YEAR($A312)),
    1
  ),
""""))"),1.2)</f>
        <v>1.2</v>
      </c>
      <c r="E312" s="2">
        <v>2.33</v>
      </c>
      <c r="F312" s="2">
        <v>0.09</v>
      </c>
      <c r="G312" s="2">
        <v>1103</v>
      </c>
      <c r="H312" s="2">
        <v>3709.41</v>
      </c>
      <c r="I312" s="2">
        <v>20</v>
      </c>
      <c r="J312" s="2">
        <v>53.7</v>
      </c>
      <c r="K312" s="2">
        <f ca="1">IFERROR(__xludf.DUMMYFUNCTION("IF($A312="""","""", IFERROR(
  INDEX(
    FILTER(IMEX_VN!$B$2:$B$130, MONTH(IMEX_VN!$A$2:$A$130)=MONTH($A312), YEAR(IMEX_VN!$A$2:$A$130)=YEAR($A312)),
    1
  ),
""""))"),-0.199999999999999)</f>
        <v>-0.19999999999999901</v>
      </c>
      <c r="L312" s="6">
        <v>90</v>
      </c>
      <c r="M312" s="7">
        <v>94.4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8">
        <v>44185</v>
      </c>
      <c r="B313" s="9">
        <v>23130</v>
      </c>
      <c r="C313" s="2">
        <f ca="1">IFERROR(__xludf.DUMMYFUNCTION("IF($A313="""","""", IFERROR(
  INDEX(
    FILTER(CPI_VN!$C$2:$C$82, MONTH(CPI_VN!$A$2:$A$82)=MONTH($A313), YEAR(CPI_VN!$A$2:$A$82)=YEAR($A313)),
    1
  ),
""""))"),0.19)</f>
        <v>0.19</v>
      </c>
      <c r="D313" s="2">
        <f ca="1">IFERROR(__xludf.DUMMYFUNCTION("IF($A313="""","""", IFERROR(
  INDEX(
    FILTER(CPI_US!$D$2:$D$130, MONTH(CPI_US!$A$2:$A$130)=MONTH($A313), YEAR(CPI_US!$A$2:$A$130)=YEAR($A313)),
    1
  ),
""""))"),1.2)</f>
        <v>1.2</v>
      </c>
      <c r="E313" s="2">
        <v>2.3069999999999999</v>
      </c>
      <c r="F313" s="2">
        <v>0.09</v>
      </c>
      <c r="G313" s="2">
        <v>1167</v>
      </c>
      <c r="H313" s="2">
        <v>3703.06</v>
      </c>
      <c r="I313" s="2">
        <v>20</v>
      </c>
      <c r="J313" s="2">
        <v>53.7</v>
      </c>
      <c r="K313" s="2">
        <f ca="1">IFERROR(__xludf.DUMMYFUNCTION("IF($A313="""","""", IFERROR(
  INDEX(
    FILTER(IMEX_VN!$B$2:$B$130, MONTH(IMEX_VN!$A$2:$A$130)=MONTH($A313), YEAR(IMEX_VN!$A$2:$A$130)=YEAR($A313)),
    1
  ),
""""))"),-0.199999999999999)</f>
        <v>-0.19999999999999901</v>
      </c>
      <c r="L313" s="6">
        <v>90</v>
      </c>
      <c r="M313" s="7">
        <v>94.4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8">
        <v>44192</v>
      </c>
      <c r="B314" s="9">
        <v>23070</v>
      </c>
      <c r="C314" s="2">
        <f ca="1">IFERROR(__xludf.DUMMYFUNCTION("IF($A314="""","""", IFERROR(
  INDEX(
    FILTER(CPI_VN!$C$2:$C$82, MONTH(CPI_VN!$A$2:$A$82)=MONTH($A314), YEAR(CPI_VN!$A$2:$A$82)=YEAR($A314)),
    1
  ),
""""))"),0.19)</f>
        <v>0.19</v>
      </c>
      <c r="D314" s="2">
        <f ca="1">IFERROR(__xludf.DUMMYFUNCTION("IF($A314="""","""", IFERROR(
  INDEX(
    FILTER(CPI_US!$D$2:$D$130, MONTH(CPI_US!$A$2:$A$130)=MONTH($A314), YEAR(CPI_US!$A$2:$A$130)=YEAR($A314)),
    1
  ),
""""))"),1.2)</f>
        <v>1.2</v>
      </c>
      <c r="E314" s="2">
        <v>2.4510000000000001</v>
      </c>
      <c r="F314" s="2">
        <v>0.09</v>
      </c>
      <c r="G314" s="2">
        <v>1194</v>
      </c>
      <c r="H314" s="2">
        <v>3756.07</v>
      </c>
      <c r="I314" s="2">
        <v>20</v>
      </c>
      <c r="J314" s="2">
        <v>53.7</v>
      </c>
      <c r="K314" s="2">
        <f ca="1">IFERROR(__xludf.DUMMYFUNCTION("IF($A314="""","""", IFERROR(
  INDEX(
    FILTER(IMEX_VN!$B$2:$B$130, MONTH(IMEX_VN!$A$2:$A$130)=MONTH($A314), YEAR(IMEX_VN!$A$2:$A$130)=YEAR($A314)),
    1
  ),
""""))"),-0.199999999999999)</f>
        <v>-0.19999999999999901</v>
      </c>
      <c r="L314" s="6">
        <v>90</v>
      </c>
      <c r="M314" s="7">
        <v>94.4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8">
        <v>44199</v>
      </c>
      <c r="B315" s="9">
        <v>23066</v>
      </c>
      <c r="C315" s="2">
        <f ca="1">IFERROR(__xludf.DUMMYFUNCTION("IF($A315="""","""", IFERROR(
  INDEX(
    FILTER(CPI_VN!$C$2:$C$82, MONTH(CPI_VN!$A$2:$A$82)=MONTH($A315), YEAR(CPI_VN!$A$2:$A$82)=YEAR($A315)),
    1
  ),
""""))"),-0.97)</f>
        <v>-0.97</v>
      </c>
      <c r="D315" s="2">
        <f ca="1">IFERROR(__xludf.DUMMYFUNCTION("IF($A315="""","""", IFERROR(
  INDEX(
    FILTER(CPI_US!$D$2:$D$130, MONTH(CPI_US!$A$2:$A$130)=MONTH($A315), YEAR(CPI_US!$A$2:$A$130)=YEAR($A315)),
    1
  ),
""""))"),1.4)</f>
        <v>1.4</v>
      </c>
      <c r="E315" s="2">
        <v>2.4359999999999999</v>
      </c>
      <c r="F315" s="2">
        <v>0.09</v>
      </c>
      <c r="G315" s="2">
        <v>1166</v>
      </c>
      <c r="H315" s="2">
        <v>3824.68</v>
      </c>
      <c r="I315" s="2">
        <v>1.51</v>
      </c>
      <c r="J315" s="2">
        <v>58.2</v>
      </c>
      <c r="K315" s="2">
        <f ca="1">IFERROR(__xludf.DUMMYFUNCTION("IF($A315="""","""", IFERROR(
  INDEX(
    FILTER(IMEX_VN!$B$2:$B$130, MONTH(IMEX_VN!$A$2:$A$130)=MONTH($A315), YEAR(IMEX_VN!$A$2:$A$130)=YEAR($A315)),
    1
  ),
""""))"),2.1)</f>
        <v>2.1</v>
      </c>
      <c r="L315" s="6">
        <v>90</v>
      </c>
      <c r="M315" s="7">
        <v>97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8">
        <v>44206</v>
      </c>
      <c r="B316" s="9">
        <v>23065</v>
      </c>
      <c r="C316" s="2">
        <f ca="1">IFERROR(__xludf.DUMMYFUNCTION("IF($A316="""","""", IFERROR(
  INDEX(
    FILTER(CPI_VN!$C$2:$C$82, MONTH(CPI_VN!$A$2:$A$82)=MONTH($A316), YEAR(CPI_VN!$A$2:$A$82)=YEAR($A316)),
    1
  ),
""""))"),-0.97)</f>
        <v>-0.97</v>
      </c>
      <c r="D316" s="2">
        <f ca="1">IFERROR(__xludf.DUMMYFUNCTION("IF($A316="""","""", IFERROR(
  INDEX(
    FILTER(CPI_US!$D$2:$D$130, MONTH(CPI_US!$A$2:$A$130)=MONTH($A316), YEAR(CPI_US!$A$2:$A$130)=YEAR($A316)),
    1
  ),
""""))"),1.4)</f>
        <v>1.4</v>
      </c>
      <c r="E316" s="2">
        <v>2.2069999999999999</v>
      </c>
      <c r="F316" s="2">
        <v>0.09</v>
      </c>
      <c r="G316" s="2">
        <v>1056</v>
      </c>
      <c r="H316" s="2">
        <v>3768.25</v>
      </c>
      <c r="I316" s="2">
        <v>1.51</v>
      </c>
      <c r="J316" s="2">
        <v>58.2</v>
      </c>
      <c r="K316" s="2">
        <f ca="1">IFERROR(__xludf.DUMMYFUNCTION("IF($A316="""","""", IFERROR(
  INDEX(
    FILTER(IMEX_VN!$B$2:$B$130, MONTH(IMEX_VN!$A$2:$A$130)=MONTH($A316), YEAR(IMEX_VN!$A$2:$A$130)=YEAR($A316)),
    1
  ),
""""))"),2.1)</f>
        <v>2.1</v>
      </c>
      <c r="L316" s="6">
        <v>91</v>
      </c>
      <c r="M316" s="7">
        <v>97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8">
        <v>44213</v>
      </c>
      <c r="B317" s="9">
        <v>23070</v>
      </c>
      <c r="C317" s="2">
        <f ca="1">IFERROR(__xludf.DUMMYFUNCTION("IF($A317="""","""", IFERROR(
  INDEX(
    FILTER(CPI_VN!$C$2:$C$82, MONTH(CPI_VN!$A$2:$A$82)=MONTH($A317), YEAR(CPI_VN!$A$2:$A$82)=YEAR($A317)),
    1
  ),
""""))"),-0.97)</f>
        <v>-0.97</v>
      </c>
      <c r="D317" s="2">
        <f ca="1">IFERROR(__xludf.DUMMYFUNCTION("IF($A317="""","""", IFERROR(
  INDEX(
    FILTER(CPI_US!$D$2:$D$130, MONTH(CPI_US!$A$2:$A$130)=MONTH($A317), YEAR(CPI_US!$A$2:$A$130)=YEAR($A317)),
    1
  ),
""""))"),1.4)</f>
        <v>1.4</v>
      </c>
      <c r="E317" s="2">
        <v>2.1880000000000002</v>
      </c>
      <c r="F317" s="2">
        <v>0.09</v>
      </c>
      <c r="G317" s="2">
        <v>1126</v>
      </c>
      <c r="H317" s="2">
        <v>3841.47</v>
      </c>
      <c r="I317" s="2">
        <v>1.51</v>
      </c>
      <c r="J317" s="2">
        <v>58.2</v>
      </c>
      <c r="K317" s="2">
        <f ca="1">IFERROR(__xludf.DUMMYFUNCTION("IF($A317="""","""", IFERROR(
  INDEX(
    FILTER(IMEX_VN!$B$2:$B$130, MONTH(IMEX_VN!$A$2:$A$130)=MONTH($A317), YEAR(IMEX_VN!$A$2:$A$130)=YEAR($A317)),
    1
  ),
""""))"),2.1)</f>
        <v>2.1</v>
      </c>
      <c r="L317" s="6">
        <v>90</v>
      </c>
      <c r="M317" s="7">
        <v>97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8">
        <v>44220</v>
      </c>
      <c r="B318" s="9">
        <v>23048</v>
      </c>
      <c r="C318" s="2">
        <f ca="1">IFERROR(__xludf.DUMMYFUNCTION("IF($A318="""","""", IFERROR(
  INDEX(
    FILTER(CPI_VN!$C$2:$C$82, MONTH(CPI_VN!$A$2:$A$82)=MONTH($A318), YEAR(CPI_VN!$A$2:$A$82)=YEAR($A318)),
    1
  ),
""""))"),-0.97)</f>
        <v>-0.97</v>
      </c>
      <c r="D318" s="2">
        <f ca="1">IFERROR(__xludf.DUMMYFUNCTION("IF($A318="""","""", IFERROR(
  INDEX(
    FILTER(CPI_US!$D$2:$D$130, MONTH(CPI_US!$A$2:$A$130)=MONTH($A318), YEAR(CPI_US!$A$2:$A$130)=YEAR($A318)),
    1
  ),
""""))"),1.4)</f>
        <v>1.4</v>
      </c>
      <c r="E318" s="2">
        <v>2.3039999999999998</v>
      </c>
      <c r="F318" s="2">
        <v>0.08</v>
      </c>
      <c r="G318" s="2">
        <v>1114</v>
      </c>
      <c r="H318" s="2">
        <v>3714.24</v>
      </c>
      <c r="I318" s="2">
        <v>1.51</v>
      </c>
      <c r="J318" s="2">
        <v>58.2</v>
      </c>
      <c r="K318" s="2">
        <f ca="1">IFERROR(__xludf.DUMMYFUNCTION("IF($A318="""","""", IFERROR(
  INDEX(
    FILTER(IMEX_VN!$B$2:$B$130, MONTH(IMEX_VN!$A$2:$A$130)=MONTH($A318), YEAR(IMEX_VN!$A$2:$A$130)=YEAR($A318)),
    1
  ),
""""))"),2.1)</f>
        <v>2.1</v>
      </c>
      <c r="L318" s="6">
        <v>91</v>
      </c>
      <c r="M318" s="7">
        <v>97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8">
        <v>44227</v>
      </c>
      <c r="B319" s="9">
        <v>23000</v>
      </c>
      <c r="C319" s="2">
        <f ca="1">IFERROR(__xludf.DUMMYFUNCTION("IF($A319="""","""", IFERROR(
  INDEX(
    FILTER(CPI_VN!$C$2:$C$82, MONTH(CPI_VN!$A$2:$A$82)=MONTH($A319), YEAR(CPI_VN!$A$2:$A$82)=YEAR($A319)),
    1
  ),
""""))"),-0.97)</f>
        <v>-0.97</v>
      </c>
      <c r="D319" s="2">
        <f ca="1">IFERROR(__xludf.DUMMYFUNCTION("IF($A319="""","""", IFERROR(
  INDEX(
    FILTER(CPI_US!$D$2:$D$130, MONTH(CPI_US!$A$2:$A$130)=MONTH($A319), YEAR(CPI_US!$A$2:$A$130)=YEAR($A319)),
    1
  ),
""""))"),1.4)</f>
        <v>1.4</v>
      </c>
      <c r="E319" s="2">
        <v>2.2469999999999999</v>
      </c>
      <c r="F319" s="2">
        <v>7.0000000000000007E-2</v>
      </c>
      <c r="G319" s="2">
        <v>1173</v>
      </c>
      <c r="H319" s="2">
        <v>3886.83</v>
      </c>
      <c r="I319" s="2">
        <v>1.51</v>
      </c>
      <c r="J319" s="2">
        <v>58.2</v>
      </c>
      <c r="K319" s="2">
        <f ca="1">IFERROR(__xludf.DUMMYFUNCTION("IF($A319="""","""", IFERROR(
  INDEX(
    FILTER(IMEX_VN!$B$2:$B$130, MONTH(IMEX_VN!$A$2:$A$130)=MONTH($A319), YEAR(IMEX_VN!$A$2:$A$130)=YEAR($A319)),
    1
  ),
""""))"),2.1)</f>
        <v>2.1</v>
      </c>
      <c r="L319" s="6">
        <v>91</v>
      </c>
      <c r="M319" s="7">
        <v>97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8">
        <v>44234</v>
      </c>
      <c r="B320" s="9">
        <v>23010</v>
      </c>
      <c r="C320" s="2">
        <f ca="1">IFERROR(__xludf.DUMMYFUNCTION("IF($A320="""","""", IFERROR(
  INDEX(
    FILTER(CPI_VN!$C$2:$C$82, MONTH(CPI_VN!$A$2:$A$82)=MONTH($A320), YEAR(CPI_VN!$A$2:$A$82)=YEAR($A320)),
    1
  ),
""""))"),0.7)</f>
        <v>0.7</v>
      </c>
      <c r="D320" s="2">
        <f ca="1">IFERROR(__xludf.DUMMYFUNCTION("IF($A320="""","""", IFERROR(
  INDEX(
    FILTER(CPI_US!$D$2:$D$130, MONTH(CPI_US!$A$2:$A$130)=MONTH($A320), YEAR(CPI_US!$A$2:$A$130)=YEAR($A320)),
    1
  ),
""""))"),1.4)</f>
        <v>1.4</v>
      </c>
      <c r="E320" s="2">
        <v>2.2730000000000001</v>
      </c>
      <c r="F320" s="2">
        <v>0.08</v>
      </c>
      <c r="G320" s="2">
        <v>1168</v>
      </c>
      <c r="H320" s="2">
        <v>3934.83</v>
      </c>
      <c r="I320" s="2">
        <v>2.5</v>
      </c>
      <c r="J320" s="2">
        <v>58.2</v>
      </c>
      <c r="K320" s="2">
        <f ca="1">IFERROR(__xludf.DUMMYFUNCTION("IF($A320="""","""", IFERROR(
  INDEX(
    FILTER(IMEX_VN!$B$2:$B$130, MONTH(IMEX_VN!$A$2:$A$130)=MONTH($A320), YEAR(IMEX_VN!$A$2:$A$130)=YEAR($A320)),
    1
  ),
""""))"),-0.5)</f>
        <v>-0.5</v>
      </c>
      <c r="L320" s="6">
        <v>90</v>
      </c>
      <c r="M320" s="7">
        <v>97.7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8">
        <v>44241</v>
      </c>
      <c r="B321" s="9">
        <v>23018</v>
      </c>
      <c r="C321" s="2">
        <f ca="1">IFERROR(__xludf.DUMMYFUNCTION("IF($A321="""","""", IFERROR(
  INDEX(
    FILTER(CPI_VN!$C$2:$C$82, MONTH(CPI_VN!$A$2:$A$82)=MONTH($A321), YEAR(CPI_VN!$A$2:$A$82)=YEAR($A321)),
    1
  ),
""""))"),0.7)</f>
        <v>0.7</v>
      </c>
      <c r="D321" s="2">
        <f ca="1">IFERROR(__xludf.DUMMYFUNCTION("IF($A321="""","""", IFERROR(
  INDEX(
    FILTER(CPI_US!$D$2:$D$130, MONTH(CPI_US!$A$2:$A$130)=MONTH($A321), YEAR(CPI_US!$A$2:$A$130)=YEAR($A321)),
    1
  ),
""""))"),1.4)</f>
        <v>1.4</v>
      </c>
      <c r="E321" s="2">
        <v>2.2210000000000001</v>
      </c>
      <c r="F321" s="2">
        <v>0.08</v>
      </c>
      <c r="G321" s="2">
        <v>1168</v>
      </c>
      <c r="H321" s="2">
        <v>3906.71</v>
      </c>
      <c r="I321" s="2">
        <v>2.5</v>
      </c>
      <c r="J321" s="2">
        <v>58.2</v>
      </c>
      <c r="K321" s="2">
        <f ca="1">IFERROR(__xludf.DUMMYFUNCTION("IF($A321="""","""", IFERROR(
  INDEX(
    FILTER(IMEX_VN!$B$2:$B$130, MONTH(IMEX_VN!$A$2:$A$130)=MONTH($A321), YEAR(IMEX_VN!$A$2:$A$130)=YEAR($A321)),
    1
  ),
""""))"),-0.5)</f>
        <v>-0.5</v>
      </c>
      <c r="L321" s="6">
        <v>90</v>
      </c>
      <c r="M321" s="7">
        <v>97.7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8">
        <v>44248</v>
      </c>
      <c r="B322" s="9">
        <v>23015</v>
      </c>
      <c r="C322" s="2">
        <f ca="1">IFERROR(__xludf.DUMMYFUNCTION("IF($A322="""","""", IFERROR(
  INDEX(
    FILTER(CPI_VN!$C$2:$C$82, MONTH(CPI_VN!$A$2:$A$82)=MONTH($A322), YEAR(CPI_VN!$A$2:$A$82)=YEAR($A322)),
    1
  ),
""""))"),0.7)</f>
        <v>0.7</v>
      </c>
      <c r="D322" s="2">
        <f ca="1">IFERROR(__xludf.DUMMYFUNCTION("IF($A322="""","""", IFERROR(
  INDEX(
    FILTER(CPI_US!$D$2:$D$130, MONTH(CPI_US!$A$2:$A$130)=MONTH($A322), YEAR(CPI_US!$A$2:$A$130)=YEAR($A322)),
    1
  ),
""""))"),1.4)</f>
        <v>1.4</v>
      </c>
      <c r="E322" s="2">
        <v>2.355</v>
      </c>
      <c r="F322" s="2">
        <v>7.0000000000000007E-2</v>
      </c>
      <c r="G322" s="2">
        <v>1181</v>
      </c>
      <c r="H322" s="2">
        <v>3811.15</v>
      </c>
      <c r="I322" s="2">
        <v>2.5</v>
      </c>
      <c r="J322" s="2">
        <v>58.2</v>
      </c>
      <c r="K322" s="2">
        <f ca="1">IFERROR(__xludf.DUMMYFUNCTION("IF($A322="""","""", IFERROR(
  INDEX(
    FILTER(IMEX_VN!$B$2:$B$130, MONTH(IMEX_VN!$A$2:$A$130)=MONTH($A322), YEAR(IMEX_VN!$A$2:$A$130)=YEAR($A322)),
    1
  ),
""""))"),-0.5)</f>
        <v>-0.5</v>
      </c>
      <c r="L322" s="6">
        <v>91</v>
      </c>
      <c r="M322" s="7">
        <v>97.7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8">
        <v>44255</v>
      </c>
      <c r="B323" s="9">
        <v>23033</v>
      </c>
      <c r="C323" s="2">
        <f ca="1">IFERROR(__xludf.DUMMYFUNCTION("IF($A323="""","""", IFERROR(
  INDEX(
    FILTER(CPI_VN!$C$2:$C$82, MONTH(CPI_VN!$A$2:$A$82)=MONTH($A323), YEAR(CPI_VN!$A$2:$A$82)=YEAR($A323)),
    1
  ),
""""))"),0.7)</f>
        <v>0.7</v>
      </c>
      <c r="D323" s="2">
        <f ca="1">IFERROR(__xludf.DUMMYFUNCTION("IF($A323="""","""", IFERROR(
  INDEX(
    FILTER(CPI_US!$D$2:$D$130, MONTH(CPI_US!$A$2:$A$130)=MONTH($A323), YEAR(CPI_US!$A$2:$A$130)=YEAR($A323)),
    1
  ),
""""))"),1.4)</f>
        <v>1.4</v>
      </c>
      <c r="E323" s="2">
        <v>2.343</v>
      </c>
      <c r="F323" s="2">
        <v>7.0000000000000007E-2</v>
      </c>
      <c r="G323" s="2">
        <v>1194</v>
      </c>
      <c r="H323" s="2">
        <v>3841.94</v>
      </c>
      <c r="I323" s="2">
        <v>2.5</v>
      </c>
      <c r="J323" s="2">
        <v>58.2</v>
      </c>
      <c r="K323" s="2">
        <f ca="1">IFERROR(__xludf.DUMMYFUNCTION("IF($A323="""","""", IFERROR(
  INDEX(
    FILTER(IMEX_VN!$B$2:$B$130, MONTH(IMEX_VN!$A$2:$A$130)=MONTH($A323), YEAR(IMEX_VN!$A$2:$A$130)=YEAR($A323)),
    1
  ),
""""))"),-0.5)</f>
        <v>-0.5</v>
      </c>
      <c r="L323" s="6">
        <v>92</v>
      </c>
      <c r="M323" s="7">
        <v>97.7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8">
        <v>44262</v>
      </c>
      <c r="B324" s="9">
        <v>23055</v>
      </c>
      <c r="C324" s="2">
        <f ca="1">IFERROR(__xludf.DUMMYFUNCTION("IF($A324="""","""", IFERROR(
  INDEX(
    FILTER(CPI_VN!$C$2:$C$82, MONTH(CPI_VN!$A$2:$A$82)=MONTH($A324), YEAR(CPI_VN!$A$2:$A$82)=YEAR($A324)),
    1
  ),
""""))"),1.16)</f>
        <v>1.1599999999999999</v>
      </c>
      <c r="D324" s="2">
        <f ca="1">IFERROR(__xludf.DUMMYFUNCTION("IF($A324="""","""", IFERROR(
  INDEX(
    FILTER(CPI_US!$D$2:$D$130, MONTH(CPI_US!$A$2:$A$130)=MONTH($A324), YEAR(CPI_US!$A$2:$A$130)=YEAR($A324)),
    1
  ),
""""))"),1.7)</f>
        <v>1.7</v>
      </c>
      <c r="E324" s="2">
        <v>2.359</v>
      </c>
      <c r="F324" s="2">
        <v>7.0000000000000007E-2</v>
      </c>
      <c r="G324" s="2">
        <v>1162</v>
      </c>
      <c r="H324" s="2">
        <v>3943.34</v>
      </c>
      <c r="I324" s="2">
        <v>4.0999999999999996</v>
      </c>
      <c r="J324" s="2">
        <v>58.2</v>
      </c>
      <c r="K324" s="2">
        <f ca="1">IFERROR(__xludf.DUMMYFUNCTION("IF($A324="""","""", IFERROR(
  INDEX(
    FILTER(IMEX_VN!$B$2:$B$130, MONTH(IMEX_VN!$A$2:$A$130)=MONTH($A324), YEAR(IMEX_VN!$A$2:$A$130)=YEAR($A324)),
    1
  ),
""""))"),0.400000000000002)</f>
        <v>0.40000000000000202</v>
      </c>
      <c r="L324" s="6">
        <v>92</v>
      </c>
      <c r="M324" s="7">
        <v>97.9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8">
        <v>44269</v>
      </c>
      <c r="B325" s="9">
        <v>23073</v>
      </c>
      <c r="C325" s="2">
        <f ca="1">IFERROR(__xludf.DUMMYFUNCTION("IF($A325="""","""", IFERROR(
  INDEX(
    FILTER(CPI_VN!$C$2:$C$82, MONTH(CPI_VN!$A$2:$A$82)=MONTH($A325), YEAR(CPI_VN!$A$2:$A$82)=YEAR($A325)),
    1
  ),
""""))"),1.16)</f>
        <v>1.1599999999999999</v>
      </c>
      <c r="D325" s="2">
        <f ca="1">IFERROR(__xludf.DUMMYFUNCTION("IF($A325="""","""", IFERROR(
  INDEX(
    FILTER(CPI_US!$D$2:$D$130, MONTH(CPI_US!$A$2:$A$130)=MONTH($A325), YEAR(CPI_US!$A$2:$A$130)=YEAR($A325)),
    1
  ),
""""))"),1.7)</f>
        <v>1.7</v>
      </c>
      <c r="E325" s="2">
        <v>2.431</v>
      </c>
      <c r="F325" s="2">
        <v>7.0000000000000007E-2</v>
      </c>
      <c r="G325" s="2">
        <v>1224</v>
      </c>
      <c r="H325" s="2">
        <v>3913.1</v>
      </c>
      <c r="I325" s="2">
        <v>4.0999999999999996</v>
      </c>
      <c r="J325" s="2">
        <v>58.2</v>
      </c>
      <c r="K325" s="2">
        <f ca="1">IFERROR(__xludf.DUMMYFUNCTION("IF($A325="""","""", IFERROR(
  INDEX(
    FILTER(IMEX_VN!$B$2:$B$130, MONTH(IMEX_VN!$A$2:$A$130)=MONTH($A325), YEAR(IMEX_VN!$A$2:$A$130)=YEAR($A325)),
    1
  ),
""""))"),0.400000000000002)</f>
        <v>0.40000000000000202</v>
      </c>
      <c r="L325" s="6">
        <v>92</v>
      </c>
      <c r="M325" s="7">
        <v>97.9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8">
        <v>44276</v>
      </c>
      <c r="B326" s="9">
        <v>23084</v>
      </c>
      <c r="C326" s="2">
        <f ca="1">IFERROR(__xludf.DUMMYFUNCTION("IF($A326="""","""", IFERROR(
  INDEX(
    FILTER(CPI_VN!$C$2:$C$82, MONTH(CPI_VN!$A$2:$A$82)=MONTH($A326), YEAR(CPI_VN!$A$2:$A$82)=YEAR($A326)),
    1
  ),
""""))"),1.16)</f>
        <v>1.1599999999999999</v>
      </c>
      <c r="D326" s="2">
        <f ca="1">IFERROR(__xludf.DUMMYFUNCTION("IF($A326="""","""", IFERROR(
  INDEX(
    FILTER(CPI_US!$D$2:$D$130, MONTH(CPI_US!$A$2:$A$130)=MONTH($A326), YEAR(CPI_US!$A$2:$A$130)=YEAR($A326)),
    1
  ),
""""))"),1.7)</f>
        <v>1.7</v>
      </c>
      <c r="E326" s="2">
        <v>2.359</v>
      </c>
      <c r="F326" s="2">
        <v>7.0000000000000007E-2</v>
      </c>
      <c r="G326" s="2">
        <v>1231</v>
      </c>
      <c r="H326" s="2">
        <v>3974.54</v>
      </c>
      <c r="I326" s="2">
        <v>4.0999999999999996</v>
      </c>
      <c r="J326" s="2">
        <v>58.2</v>
      </c>
      <c r="K326" s="2">
        <f ca="1">IFERROR(__xludf.DUMMYFUNCTION("IF($A326="""","""", IFERROR(
  INDEX(
    FILTER(IMEX_VN!$B$2:$B$130, MONTH(IMEX_VN!$A$2:$A$130)=MONTH($A326), YEAR(IMEX_VN!$A$2:$A$130)=YEAR($A326)),
    1
  ),
""""))"),0.400000000000002)</f>
        <v>0.40000000000000202</v>
      </c>
      <c r="L326" s="6">
        <v>93</v>
      </c>
      <c r="M326" s="7">
        <v>97.9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8">
        <v>44283</v>
      </c>
      <c r="B327" s="9">
        <v>23073</v>
      </c>
      <c r="C327" s="2">
        <f ca="1">IFERROR(__xludf.DUMMYFUNCTION("IF($A327="""","""", IFERROR(
  INDEX(
    FILTER(CPI_VN!$C$2:$C$82, MONTH(CPI_VN!$A$2:$A$82)=MONTH($A327), YEAR(CPI_VN!$A$2:$A$82)=YEAR($A327)),
    1
  ),
""""))"),1.16)</f>
        <v>1.1599999999999999</v>
      </c>
      <c r="D327" s="2">
        <f ca="1">IFERROR(__xludf.DUMMYFUNCTION("IF($A327="""","""", IFERROR(
  INDEX(
    FILTER(CPI_US!$D$2:$D$130, MONTH(CPI_US!$A$2:$A$130)=MONTH($A327), YEAR(CPI_US!$A$2:$A$130)=YEAR($A327)),
    1
  ),
""""))"),1.7)</f>
        <v>1.7</v>
      </c>
      <c r="E327" s="2">
        <v>2.3620000000000001</v>
      </c>
      <c r="F327" s="2">
        <v>7.0000000000000007E-2</v>
      </c>
      <c r="G327" s="2">
        <v>1238</v>
      </c>
      <c r="H327" s="2">
        <v>4019.87</v>
      </c>
      <c r="I327" s="2">
        <v>4.0999999999999996</v>
      </c>
      <c r="J327" s="2">
        <v>58.2</v>
      </c>
      <c r="K327" s="2">
        <f ca="1">IFERROR(__xludf.DUMMYFUNCTION("IF($A327="""","""", IFERROR(
  INDEX(
    FILTER(IMEX_VN!$B$2:$B$130, MONTH(IMEX_VN!$A$2:$A$130)=MONTH($A327), YEAR(IMEX_VN!$A$2:$A$130)=YEAR($A327)),
    1
  ),
""""))"),0.400000000000002)</f>
        <v>0.40000000000000202</v>
      </c>
      <c r="L327" s="6">
        <v>93</v>
      </c>
      <c r="M327" s="7">
        <v>97.9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8">
        <v>44290</v>
      </c>
      <c r="B328" s="9">
        <v>23065</v>
      </c>
      <c r="C328" s="2">
        <f ca="1">IFERROR(__xludf.DUMMYFUNCTION("IF($A328="""","""", IFERROR(
  INDEX(
    FILTER(CPI_VN!$C$2:$C$82, MONTH(CPI_VN!$A$2:$A$82)=MONTH($A328), YEAR(CPI_VN!$A$2:$A$82)=YEAR($A328)),
    1
  ),
""""))"),2.7)</f>
        <v>2.7</v>
      </c>
      <c r="D328" s="2">
        <f ca="1">IFERROR(__xludf.DUMMYFUNCTION("IF($A328="""","""", IFERROR(
  INDEX(
    FILTER(CPI_US!$D$2:$D$130, MONTH(CPI_US!$A$2:$A$130)=MONTH($A328), YEAR(CPI_US!$A$2:$A$130)=YEAR($A328)),
    1
  ),
""""))"),2.6)</f>
        <v>2.6</v>
      </c>
      <c r="E328" s="2">
        <v>2.3730000000000002</v>
      </c>
      <c r="F328" s="2">
        <v>7.0000000000000007E-2</v>
      </c>
      <c r="G328" s="2">
        <v>1248</v>
      </c>
      <c r="H328" s="2">
        <v>4128.8</v>
      </c>
      <c r="I328" s="2">
        <v>5.5</v>
      </c>
      <c r="J328" s="2">
        <v>77.900000000000006</v>
      </c>
      <c r="K328" s="2">
        <f ca="1">IFERROR(__xludf.DUMMYFUNCTION("IF($A328="""","""", IFERROR(
  INDEX(
    FILTER(IMEX_VN!$B$2:$B$130, MONTH(IMEX_VN!$A$2:$A$130)=MONTH($A328), YEAR(IMEX_VN!$A$2:$A$130)=YEAR($A328)),
    1
  ),
""""))"),-1.19999999999999)</f>
        <v>-1.19999999999999</v>
      </c>
      <c r="L328" s="6">
        <v>92</v>
      </c>
      <c r="M328" s="7">
        <v>100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8">
        <v>44297</v>
      </c>
      <c r="B329" s="9">
        <v>23067</v>
      </c>
      <c r="C329" s="2">
        <f ca="1">IFERROR(__xludf.DUMMYFUNCTION("IF($A329="""","""", IFERROR(
  INDEX(
    FILTER(CPI_VN!$C$2:$C$82, MONTH(CPI_VN!$A$2:$A$82)=MONTH($A329), YEAR(CPI_VN!$A$2:$A$82)=YEAR($A329)),
    1
  ),
""""))"),2.7)</f>
        <v>2.7</v>
      </c>
      <c r="D329" s="2">
        <f ca="1">IFERROR(__xludf.DUMMYFUNCTION("IF($A329="""","""", IFERROR(
  INDEX(
    FILTER(CPI_US!$D$2:$D$130, MONTH(CPI_US!$A$2:$A$130)=MONTH($A329), YEAR(CPI_US!$A$2:$A$130)=YEAR($A329)),
    1
  ),
""""))"),2.6)</f>
        <v>2.6</v>
      </c>
      <c r="E329" s="2">
        <v>2.2869999999999999</v>
      </c>
      <c r="F329" s="2">
        <v>7.0000000000000007E-2</v>
      </c>
      <c r="G329" s="2">
        <v>1239</v>
      </c>
      <c r="H329" s="2">
        <v>4185.47</v>
      </c>
      <c r="I329" s="2">
        <v>5.5</v>
      </c>
      <c r="J329" s="2">
        <v>77.900000000000006</v>
      </c>
      <c r="K329" s="2">
        <f ca="1">IFERROR(__xludf.DUMMYFUNCTION("IF($A329="""","""", IFERROR(
  INDEX(
    FILTER(IMEX_VN!$B$2:$B$130, MONTH(IMEX_VN!$A$2:$A$130)=MONTH($A329), YEAR(IMEX_VN!$A$2:$A$130)=YEAR($A329)),
    1
  ),
""""))"),-1.19999999999999)</f>
        <v>-1.19999999999999</v>
      </c>
      <c r="L329" s="6">
        <v>92</v>
      </c>
      <c r="M329" s="7">
        <v>100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8">
        <v>44304</v>
      </c>
      <c r="B330" s="9">
        <v>23070</v>
      </c>
      <c r="C330" s="2">
        <f ca="1">IFERROR(__xludf.DUMMYFUNCTION("IF($A330="""","""", IFERROR(
  INDEX(
    FILTER(CPI_VN!$C$2:$C$82, MONTH(CPI_VN!$A$2:$A$82)=MONTH($A330), YEAR(CPI_VN!$A$2:$A$82)=YEAR($A330)),
    1
  ),
""""))"),2.7)</f>
        <v>2.7</v>
      </c>
      <c r="D330" s="2">
        <f ca="1">IFERROR(__xludf.DUMMYFUNCTION("IF($A330="""","""", IFERROR(
  INDEX(
    FILTER(CPI_US!$D$2:$D$130, MONTH(CPI_US!$A$2:$A$130)=MONTH($A330), YEAR(CPI_US!$A$2:$A$130)=YEAR($A330)),
    1
  ),
""""))"),2.6)</f>
        <v>2.6</v>
      </c>
      <c r="E330" s="2">
        <v>2.2949999999999999</v>
      </c>
      <c r="F330" s="2">
        <v>7.0000000000000007E-2</v>
      </c>
      <c r="G330" s="2">
        <v>1241</v>
      </c>
      <c r="H330" s="2">
        <v>4180.17</v>
      </c>
      <c r="I330" s="2">
        <v>5.5</v>
      </c>
      <c r="J330" s="2">
        <v>77.900000000000006</v>
      </c>
      <c r="K330" s="2">
        <f ca="1">IFERROR(__xludf.DUMMYFUNCTION("IF($A330="""","""", IFERROR(
  INDEX(
    FILTER(IMEX_VN!$B$2:$B$130, MONTH(IMEX_VN!$A$2:$A$130)=MONTH($A330), YEAR(IMEX_VN!$A$2:$A$130)=YEAR($A330)),
    1
  ),
""""))"),-1.19999999999999)</f>
        <v>-1.19999999999999</v>
      </c>
      <c r="L330" s="6">
        <v>91</v>
      </c>
      <c r="M330" s="7">
        <v>100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8">
        <v>44311</v>
      </c>
      <c r="B331" s="9">
        <v>23054</v>
      </c>
      <c r="C331" s="2">
        <f ca="1">IFERROR(__xludf.DUMMYFUNCTION("IF($A331="""","""", IFERROR(
  INDEX(
    FILTER(CPI_VN!$C$2:$C$82, MONTH(CPI_VN!$A$2:$A$82)=MONTH($A331), YEAR(CPI_VN!$A$2:$A$82)=YEAR($A331)),
    1
  ),
""""))"),2.7)</f>
        <v>2.7</v>
      </c>
      <c r="D331" s="2">
        <f ca="1">IFERROR(__xludf.DUMMYFUNCTION("IF($A331="""","""", IFERROR(
  INDEX(
    FILTER(CPI_US!$D$2:$D$130, MONTH(CPI_US!$A$2:$A$130)=MONTH($A331), YEAR(CPI_US!$A$2:$A$130)=YEAR($A331)),
    1
  ),
""""))"),2.6)</f>
        <v>2.6</v>
      </c>
      <c r="E331" s="2">
        <v>2.3130000000000002</v>
      </c>
      <c r="F331" s="2">
        <v>7.0000000000000007E-2</v>
      </c>
      <c r="G331" s="2">
        <v>1266</v>
      </c>
      <c r="H331" s="2">
        <v>4181.17</v>
      </c>
      <c r="I331" s="2">
        <v>5.5</v>
      </c>
      <c r="J331" s="2">
        <v>77.900000000000006</v>
      </c>
      <c r="K331" s="2">
        <f ca="1">IFERROR(__xludf.DUMMYFUNCTION("IF($A331="""","""", IFERROR(
  INDEX(
    FILTER(IMEX_VN!$B$2:$B$130, MONTH(IMEX_VN!$A$2:$A$130)=MONTH($A331), YEAR(IMEX_VN!$A$2:$A$130)=YEAR($A331)),
    1
  ),
""""))"),-1.19999999999999)</f>
        <v>-1.19999999999999</v>
      </c>
      <c r="L331" s="6">
        <v>91</v>
      </c>
      <c r="M331" s="7">
        <v>100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8">
        <v>44318</v>
      </c>
      <c r="B332" s="9">
        <v>23060</v>
      </c>
      <c r="C332" s="2">
        <f ca="1">IFERROR(__xludf.DUMMYFUNCTION("IF($A332="""","""", IFERROR(
  INDEX(
    FILTER(CPI_VN!$C$2:$C$82, MONTH(CPI_VN!$A$2:$A$82)=MONTH($A332), YEAR(CPI_VN!$A$2:$A$82)=YEAR($A332)),
    1
  ),
""""))"),2.9)</f>
        <v>2.9</v>
      </c>
      <c r="D332" s="2">
        <f ca="1">IFERROR(__xludf.DUMMYFUNCTION("IF($A332="""","""", IFERROR(
  INDEX(
    FILTER(CPI_US!$D$2:$D$130, MONTH(CPI_US!$A$2:$A$130)=MONTH($A332), YEAR(CPI_US!$A$2:$A$130)=YEAR($A332)),
    1
  ),
""""))"),4.2)</f>
        <v>4.2</v>
      </c>
      <c r="E332" s="2">
        <v>2.4</v>
      </c>
      <c r="F332" s="2">
        <v>0.05</v>
      </c>
      <c r="G332" s="2">
        <v>1283</v>
      </c>
      <c r="H332" s="2">
        <v>4232.6000000000004</v>
      </c>
      <c r="I332" s="2">
        <v>7.15</v>
      </c>
      <c r="J332" s="2">
        <v>77.900000000000006</v>
      </c>
      <c r="K332" s="2">
        <f ca="1">IFERROR(__xludf.DUMMYFUNCTION("IF($A332="""","""", IFERROR(
  INDEX(
    FILTER(IMEX_VN!$B$2:$B$130, MONTH(IMEX_VN!$A$2:$A$130)=MONTH($A332), YEAR(IMEX_VN!$A$2:$A$130)=YEAR($A332)),
    1
  ),
""""))"),-2.1)</f>
        <v>-2.1</v>
      </c>
      <c r="L332" s="6">
        <v>90</v>
      </c>
      <c r="M332" s="7">
        <v>101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8">
        <v>44325</v>
      </c>
      <c r="B333" s="9">
        <v>23048</v>
      </c>
      <c r="C333" s="2">
        <f ca="1">IFERROR(__xludf.DUMMYFUNCTION("IF($A333="""","""", IFERROR(
  INDEX(
    FILTER(CPI_VN!$C$2:$C$82, MONTH(CPI_VN!$A$2:$A$82)=MONTH($A333), YEAR(CPI_VN!$A$2:$A$82)=YEAR($A333)),
    1
  ),
""""))"),2.9)</f>
        <v>2.9</v>
      </c>
      <c r="D333" s="2">
        <f ca="1">IFERROR(__xludf.DUMMYFUNCTION("IF($A333="""","""", IFERROR(
  INDEX(
    FILTER(CPI_US!$D$2:$D$130, MONTH(CPI_US!$A$2:$A$130)=MONTH($A333), YEAR(CPI_US!$A$2:$A$130)=YEAR($A333)),
    1
  ),
""""))"),4.2)</f>
        <v>4.2</v>
      </c>
      <c r="E333" s="2">
        <v>2.379</v>
      </c>
      <c r="F333" s="2">
        <v>0.06</v>
      </c>
      <c r="G333" s="2">
        <v>1320</v>
      </c>
      <c r="H333" s="2">
        <v>4173.8500000000004</v>
      </c>
      <c r="I333" s="2">
        <v>7.15</v>
      </c>
      <c r="J333" s="2">
        <v>77.900000000000006</v>
      </c>
      <c r="K333" s="2">
        <f ca="1">IFERROR(__xludf.DUMMYFUNCTION("IF($A333="""","""", IFERROR(
  INDEX(
    FILTER(IMEX_VN!$B$2:$B$130, MONTH(IMEX_VN!$A$2:$A$130)=MONTH($A333), YEAR(IMEX_VN!$A$2:$A$130)=YEAR($A333)),
    1
  ),
""""))"),-2.1)</f>
        <v>-2.1</v>
      </c>
      <c r="L333" s="6">
        <v>90</v>
      </c>
      <c r="M333" s="7">
        <v>101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8">
        <v>44332</v>
      </c>
      <c r="B334" s="9">
        <v>23054</v>
      </c>
      <c r="C334" s="2">
        <f ca="1">IFERROR(__xludf.DUMMYFUNCTION("IF($A334="""","""", IFERROR(
  INDEX(
    FILTER(CPI_VN!$C$2:$C$82, MONTH(CPI_VN!$A$2:$A$82)=MONTH($A334), YEAR(CPI_VN!$A$2:$A$82)=YEAR($A334)),
    1
  ),
""""))"),2.9)</f>
        <v>2.9</v>
      </c>
      <c r="D334" s="2">
        <f ca="1">IFERROR(__xludf.DUMMYFUNCTION("IF($A334="""","""", IFERROR(
  INDEX(
    FILTER(CPI_US!$D$2:$D$130, MONTH(CPI_US!$A$2:$A$130)=MONTH($A334), YEAR(CPI_US!$A$2:$A$130)=YEAR($A334)),
    1
  ),
""""))"),4.2)</f>
        <v>4.2</v>
      </c>
      <c r="E334" s="2">
        <v>2.3460000000000001</v>
      </c>
      <c r="F334" s="2">
        <v>0.06</v>
      </c>
      <c r="G334" s="2">
        <v>1374</v>
      </c>
      <c r="H334" s="2">
        <v>4155.8599999999997</v>
      </c>
      <c r="I334" s="2">
        <v>7.15</v>
      </c>
      <c r="J334" s="2">
        <v>77.900000000000006</v>
      </c>
      <c r="K334" s="2">
        <f ca="1">IFERROR(__xludf.DUMMYFUNCTION("IF($A334="""","""", IFERROR(
  INDEX(
    FILTER(IMEX_VN!$B$2:$B$130, MONTH(IMEX_VN!$A$2:$A$130)=MONTH($A334), YEAR(IMEX_VN!$A$2:$A$130)=YEAR($A334)),
    1
  ),
""""))"),-2.1)</f>
        <v>-2.1</v>
      </c>
      <c r="L334" s="6">
        <v>90</v>
      </c>
      <c r="M334" s="7">
        <v>101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8">
        <v>44339</v>
      </c>
      <c r="B335" s="9">
        <v>23045</v>
      </c>
      <c r="C335" s="2">
        <f ca="1">IFERROR(__xludf.DUMMYFUNCTION("IF($A335="""","""", IFERROR(
  INDEX(
    FILTER(CPI_VN!$C$2:$C$82, MONTH(CPI_VN!$A$2:$A$82)=MONTH($A335), YEAR(CPI_VN!$A$2:$A$82)=YEAR($A335)),
    1
  ),
""""))"),2.9)</f>
        <v>2.9</v>
      </c>
      <c r="D335" s="2">
        <f ca="1">IFERROR(__xludf.DUMMYFUNCTION("IF($A335="""","""", IFERROR(
  INDEX(
    FILTER(CPI_US!$D$2:$D$130, MONTH(CPI_US!$A$2:$A$130)=MONTH($A335), YEAR(CPI_US!$A$2:$A$130)=YEAR($A335)),
    1
  ),
""""))"),4.2)</f>
        <v>4.2</v>
      </c>
      <c r="E335" s="2">
        <v>2.298</v>
      </c>
      <c r="F335" s="2">
        <v>0.06</v>
      </c>
      <c r="G335" s="2">
        <v>1351</v>
      </c>
      <c r="H335" s="2">
        <v>4204.1099999999997</v>
      </c>
      <c r="I335" s="2">
        <v>7.15</v>
      </c>
      <c r="J335" s="2">
        <v>77.900000000000006</v>
      </c>
      <c r="K335" s="2">
        <f ca="1">IFERROR(__xludf.DUMMYFUNCTION("IF($A335="""","""", IFERROR(
  INDEX(
    FILTER(IMEX_VN!$B$2:$B$130, MONTH(IMEX_VN!$A$2:$A$130)=MONTH($A335), YEAR(IMEX_VN!$A$2:$A$130)=YEAR($A335)),
    1
  ),
""""))"),-2.1)</f>
        <v>-2.1</v>
      </c>
      <c r="L335" s="6">
        <v>90</v>
      </c>
      <c r="M335" s="7">
        <v>101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8">
        <v>44346</v>
      </c>
      <c r="B336" s="9">
        <v>23044</v>
      </c>
      <c r="C336" s="2">
        <f ca="1">IFERROR(__xludf.DUMMYFUNCTION("IF($A336="""","""", IFERROR(
  INDEX(
    FILTER(CPI_VN!$C$2:$C$82, MONTH(CPI_VN!$A$2:$A$82)=MONTH($A336), YEAR(CPI_VN!$A$2:$A$82)=YEAR($A336)),
    1
  ),
""""))"),2.9)</f>
        <v>2.9</v>
      </c>
      <c r="D336" s="2">
        <f ca="1">IFERROR(__xludf.DUMMYFUNCTION("IF($A336="""","""", IFERROR(
  INDEX(
    FILTER(CPI_US!$D$2:$D$130, MONTH(CPI_US!$A$2:$A$130)=MONTH($A336), YEAR(CPI_US!$A$2:$A$130)=YEAR($A336)),
    1
  ),
""""))"),4.2)</f>
        <v>4.2</v>
      </c>
      <c r="E336" s="2">
        <v>2.2389999999999999</v>
      </c>
      <c r="F336" s="2">
        <v>0.05</v>
      </c>
      <c r="G336" s="2">
        <v>1377</v>
      </c>
      <c r="H336" s="2">
        <v>4229.8900000000003</v>
      </c>
      <c r="I336" s="2">
        <v>7.15</v>
      </c>
      <c r="J336" s="2">
        <v>77.900000000000006</v>
      </c>
      <c r="K336" s="2">
        <f ca="1">IFERROR(__xludf.DUMMYFUNCTION("IF($A336="""","""", IFERROR(
  INDEX(
    FILTER(IMEX_VN!$B$2:$B$130, MONTH(IMEX_VN!$A$2:$A$130)=MONTH($A336), YEAR(IMEX_VN!$A$2:$A$130)=YEAR($A336)),
    1
  ),
""""))"),-2.1)</f>
        <v>-2.1</v>
      </c>
      <c r="L336" s="6">
        <v>90</v>
      </c>
      <c r="M336" s="7">
        <v>101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8">
        <v>44353</v>
      </c>
      <c r="B337" s="9">
        <v>22945</v>
      </c>
      <c r="C337" s="2">
        <f ca="1">IFERROR(__xludf.DUMMYFUNCTION("IF($A337="""","""", IFERROR(
  INDEX(
    FILTER(CPI_VN!$C$2:$C$82, MONTH(CPI_VN!$A$2:$A$82)=MONTH($A337), YEAR(CPI_VN!$A$2:$A$82)=YEAR($A337)),
    1
  ),
""""))"),2.41)</f>
        <v>2.41</v>
      </c>
      <c r="D337" s="2">
        <f ca="1">IFERROR(__xludf.DUMMYFUNCTION("IF($A337="""","""", IFERROR(
  INDEX(
    FILTER(CPI_US!$D$2:$D$130, MONTH(CPI_US!$A$2:$A$130)=MONTH($A337), YEAR(CPI_US!$A$2:$A$130)=YEAR($A337)),
    1
  ),
""""))"),5)</f>
        <v>5</v>
      </c>
      <c r="E337" s="2">
        <v>2.181</v>
      </c>
      <c r="F337" s="2">
        <v>0.06</v>
      </c>
      <c r="G337" s="2">
        <v>1390</v>
      </c>
      <c r="H337" s="2">
        <v>4247.4399999999996</v>
      </c>
      <c r="I337" s="2">
        <v>9.24</v>
      </c>
      <c r="J337" s="2">
        <v>77.900000000000006</v>
      </c>
      <c r="K337" s="2">
        <f ca="1">IFERROR(__xludf.DUMMYFUNCTION("IF($A337="""","""", IFERROR(
  INDEX(
    FILTER(IMEX_VN!$B$2:$B$130, MONTH(IMEX_VN!$A$2:$A$130)=MONTH($A337), YEAR(IMEX_VN!$A$2:$A$130)=YEAR($A337)),
    1
  ),
""""))"),-0.5)</f>
        <v>-0.5</v>
      </c>
      <c r="L337" s="6">
        <v>91</v>
      </c>
      <c r="M337" s="7">
        <v>99.8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8">
        <v>44360</v>
      </c>
      <c r="B338" s="9">
        <v>22995</v>
      </c>
      <c r="C338" s="2">
        <f ca="1">IFERROR(__xludf.DUMMYFUNCTION("IF($A338="""","""", IFERROR(
  INDEX(
    FILTER(CPI_VN!$C$2:$C$82, MONTH(CPI_VN!$A$2:$A$82)=MONTH($A338), YEAR(CPI_VN!$A$2:$A$82)=YEAR($A338)),
    1
  ),
""""))"),2.41)</f>
        <v>2.41</v>
      </c>
      <c r="D338" s="2">
        <f ca="1">IFERROR(__xludf.DUMMYFUNCTION("IF($A338="""","""", IFERROR(
  INDEX(
    FILTER(CPI_US!$D$2:$D$130, MONTH(CPI_US!$A$2:$A$130)=MONTH($A338), YEAR(CPI_US!$A$2:$A$130)=YEAR($A338)),
    1
  ),
""""))"),5)</f>
        <v>5</v>
      </c>
      <c r="E338" s="2">
        <v>2.1269999999999998</v>
      </c>
      <c r="F338" s="2">
        <v>0.06</v>
      </c>
      <c r="G338" s="2">
        <v>1420</v>
      </c>
      <c r="H338" s="2">
        <v>4166.45</v>
      </c>
      <c r="I338" s="2">
        <v>9.24</v>
      </c>
      <c r="J338" s="2">
        <v>77.900000000000006</v>
      </c>
      <c r="K338" s="2">
        <f ca="1">IFERROR(__xludf.DUMMYFUNCTION("IF($A338="""","""", IFERROR(
  INDEX(
    FILTER(IMEX_VN!$B$2:$B$130, MONTH(IMEX_VN!$A$2:$A$130)=MONTH($A338), YEAR(IMEX_VN!$A$2:$A$130)=YEAR($A338)),
    1
  ),
""""))"),-0.5)</f>
        <v>-0.5</v>
      </c>
      <c r="L338" s="6">
        <v>92</v>
      </c>
      <c r="M338" s="7">
        <v>99.8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8">
        <v>44367</v>
      </c>
      <c r="B339" s="9">
        <v>23020</v>
      </c>
      <c r="C339" s="2">
        <f ca="1">IFERROR(__xludf.DUMMYFUNCTION("IF($A339="""","""", IFERROR(
  INDEX(
    FILTER(CPI_VN!$C$2:$C$82, MONTH(CPI_VN!$A$2:$A$82)=MONTH($A339), YEAR(CPI_VN!$A$2:$A$82)=YEAR($A339)),
    1
  ),
""""))"),2.41)</f>
        <v>2.41</v>
      </c>
      <c r="D339" s="2">
        <f ca="1">IFERROR(__xludf.DUMMYFUNCTION("IF($A339="""","""", IFERROR(
  INDEX(
    FILTER(CPI_US!$D$2:$D$130, MONTH(CPI_US!$A$2:$A$130)=MONTH($A339), YEAR(CPI_US!$A$2:$A$130)=YEAR($A339)),
    1
  ),
""""))"),5)</f>
        <v>5</v>
      </c>
      <c r="E339" s="2">
        <v>2.2240000000000002</v>
      </c>
      <c r="F339" s="2">
        <v>0.1</v>
      </c>
      <c r="G339" s="2">
        <v>1347</v>
      </c>
      <c r="H339" s="2">
        <v>4280.7</v>
      </c>
      <c r="I339" s="2">
        <v>9.24</v>
      </c>
      <c r="J339" s="2">
        <v>77.900000000000006</v>
      </c>
      <c r="K339" s="2">
        <f ca="1">IFERROR(__xludf.DUMMYFUNCTION("IF($A339="""","""", IFERROR(
  INDEX(
    FILTER(IMEX_VN!$B$2:$B$130, MONTH(IMEX_VN!$A$2:$A$130)=MONTH($A339), YEAR(IMEX_VN!$A$2:$A$130)=YEAR($A339)),
    1
  ),
""""))"),-0.5)</f>
        <v>-0.5</v>
      </c>
      <c r="L339" s="6">
        <v>92</v>
      </c>
      <c r="M339" s="7">
        <v>99.8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8">
        <v>44374</v>
      </c>
      <c r="B340" s="9">
        <v>22998</v>
      </c>
      <c r="C340" s="2">
        <f ca="1">IFERROR(__xludf.DUMMYFUNCTION("IF($A340="""","""", IFERROR(
  INDEX(
    FILTER(CPI_VN!$C$2:$C$82, MONTH(CPI_VN!$A$2:$A$82)=MONTH($A340), YEAR(CPI_VN!$A$2:$A$82)=YEAR($A340)),
    1
  ),
""""))"),2.41)</f>
        <v>2.41</v>
      </c>
      <c r="D340" s="2">
        <f ca="1">IFERROR(__xludf.DUMMYFUNCTION("IF($A340="""","""", IFERROR(
  INDEX(
    FILTER(CPI_US!$D$2:$D$130, MONTH(CPI_US!$A$2:$A$130)=MONTH($A340), YEAR(CPI_US!$A$2:$A$130)=YEAR($A340)),
    1
  ),
""""))"),5)</f>
        <v>5</v>
      </c>
      <c r="E340" s="2">
        <v>2.149</v>
      </c>
      <c r="F340" s="2">
        <v>0.1</v>
      </c>
      <c r="G340" s="2">
        <v>1299</v>
      </c>
      <c r="H340" s="2">
        <v>4352.34</v>
      </c>
      <c r="I340" s="2">
        <v>9.24</v>
      </c>
      <c r="J340" s="2">
        <v>77.900000000000006</v>
      </c>
      <c r="K340" s="2">
        <f ca="1">IFERROR(__xludf.DUMMYFUNCTION("IF($A340="""","""", IFERROR(
  INDEX(
    FILTER(IMEX_VN!$B$2:$B$130, MONTH(IMEX_VN!$A$2:$A$130)=MONTH($A340), YEAR(IMEX_VN!$A$2:$A$130)=YEAR($A340)),
    1
  ),
""""))"),-0.5)</f>
        <v>-0.5</v>
      </c>
      <c r="L340" s="6">
        <v>92</v>
      </c>
      <c r="M340" s="7">
        <v>99.8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8">
        <v>44381</v>
      </c>
      <c r="B341" s="9">
        <v>23000</v>
      </c>
      <c r="C341" s="2">
        <f ca="1">IFERROR(__xludf.DUMMYFUNCTION("IF($A341="""","""", IFERROR(
  INDEX(
    FILTER(CPI_VN!$C$2:$C$82, MONTH(CPI_VN!$A$2:$A$82)=MONTH($A341), YEAR(CPI_VN!$A$2:$A$82)=YEAR($A341)),
    1
  ),
""""))"),2.64)</f>
        <v>2.64</v>
      </c>
      <c r="D341" s="2">
        <f ca="1">IFERROR(__xludf.DUMMYFUNCTION("IF($A341="""","""", IFERROR(
  INDEX(
    FILTER(CPI_US!$D$2:$D$130, MONTH(CPI_US!$A$2:$A$130)=MONTH($A341), YEAR(CPI_US!$A$2:$A$130)=YEAR($A341)),
    1
  ),
""""))"),5.4)</f>
        <v>5.4</v>
      </c>
      <c r="E341" s="2">
        <v>2.1269999999999998</v>
      </c>
      <c r="F341" s="2">
        <v>0.1</v>
      </c>
      <c r="G341" s="2">
        <v>1268</v>
      </c>
      <c r="H341" s="2">
        <v>4369.55</v>
      </c>
      <c r="I341" s="2">
        <v>10.5</v>
      </c>
      <c r="J341" s="2">
        <v>78.8</v>
      </c>
      <c r="K341" s="2">
        <f ca="1">IFERROR(__xludf.DUMMYFUNCTION("IF($A341="""","""", IFERROR(
  INDEX(
    FILTER(IMEX_VN!$B$2:$B$130, MONTH(IMEX_VN!$A$2:$A$130)=MONTH($A341), YEAR(IMEX_VN!$A$2:$A$130)=YEAR($A341)),
    1
  ),
""""))"),-1.2)</f>
        <v>-1.2</v>
      </c>
      <c r="L341" s="6">
        <v>92</v>
      </c>
      <c r="M341" s="7">
        <v>102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8">
        <v>44388</v>
      </c>
      <c r="B342" s="9">
        <v>23011</v>
      </c>
      <c r="C342" s="2">
        <f ca="1">IFERROR(__xludf.DUMMYFUNCTION("IF($A342="""","""", IFERROR(
  INDEX(
    FILTER(CPI_VN!$C$2:$C$82, MONTH(CPI_VN!$A$2:$A$82)=MONTH($A342), YEAR(CPI_VN!$A$2:$A$82)=YEAR($A342)),
    1
  ),
""""))"),2.64)</f>
        <v>2.64</v>
      </c>
      <c r="D342" s="2">
        <f ca="1">IFERROR(__xludf.DUMMYFUNCTION("IF($A342="""","""", IFERROR(
  INDEX(
    FILTER(CPI_US!$D$2:$D$130, MONTH(CPI_US!$A$2:$A$130)=MONTH($A342), YEAR(CPI_US!$A$2:$A$130)=YEAR($A342)),
    1
  ),
""""))"),5.4)</f>
        <v>5.4</v>
      </c>
      <c r="E342" s="2">
        <v>2.1240000000000001</v>
      </c>
      <c r="F342" s="2">
        <v>0.1</v>
      </c>
      <c r="G342" s="2">
        <v>1310</v>
      </c>
      <c r="H342" s="2">
        <v>4327.16</v>
      </c>
      <c r="I342" s="2">
        <v>10.5</v>
      </c>
      <c r="J342" s="2">
        <v>78.8</v>
      </c>
      <c r="K342" s="2">
        <f ca="1">IFERROR(__xludf.DUMMYFUNCTION("IF($A342="""","""", IFERROR(
  INDEX(
    FILTER(IMEX_VN!$B$2:$B$130, MONTH(IMEX_VN!$A$2:$A$130)=MONTH($A342), YEAR(IMEX_VN!$A$2:$A$130)=YEAR($A342)),
    1
  ),
""""))"),-1.2)</f>
        <v>-1.2</v>
      </c>
      <c r="L342" s="6">
        <v>93</v>
      </c>
      <c r="M342" s="7">
        <v>102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8">
        <v>44395</v>
      </c>
      <c r="B343" s="9">
        <v>23005</v>
      </c>
      <c r="C343" s="2">
        <f ca="1">IFERROR(__xludf.DUMMYFUNCTION("IF($A343="""","""", IFERROR(
  INDEX(
    FILTER(CPI_VN!$C$2:$C$82, MONTH(CPI_VN!$A$2:$A$82)=MONTH($A343), YEAR(CPI_VN!$A$2:$A$82)=YEAR($A343)),
    1
  ),
""""))"),2.64)</f>
        <v>2.64</v>
      </c>
      <c r="D343" s="2">
        <f ca="1">IFERROR(__xludf.DUMMYFUNCTION("IF($A343="""","""", IFERROR(
  INDEX(
    FILTER(CPI_US!$D$2:$D$130, MONTH(CPI_US!$A$2:$A$130)=MONTH($A343), YEAR(CPI_US!$A$2:$A$130)=YEAR($A343)),
    1
  ),
""""))"),5.4)</f>
        <v>5.4</v>
      </c>
      <c r="E343" s="2">
        <v>2.1269999999999998</v>
      </c>
      <c r="F343" s="2">
        <v>0.1</v>
      </c>
      <c r="G343" s="2">
        <v>1341</v>
      </c>
      <c r="H343" s="2">
        <v>4411.79</v>
      </c>
      <c r="I343" s="2">
        <v>10.5</v>
      </c>
      <c r="J343" s="2">
        <v>78.8</v>
      </c>
      <c r="K343" s="2">
        <f ca="1">IFERROR(__xludf.DUMMYFUNCTION("IF($A343="""","""", IFERROR(
  INDEX(
    FILTER(IMEX_VN!$B$2:$B$130, MONTH(IMEX_VN!$A$2:$A$130)=MONTH($A343), YEAR(IMEX_VN!$A$2:$A$130)=YEAR($A343)),
    1
  ),
""""))"),-1.2)</f>
        <v>-1.2</v>
      </c>
      <c r="L343" s="6">
        <v>93</v>
      </c>
      <c r="M343" s="7">
        <v>102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8">
        <v>44402</v>
      </c>
      <c r="B344" s="9">
        <v>22950</v>
      </c>
      <c r="C344" s="2">
        <f ca="1">IFERROR(__xludf.DUMMYFUNCTION("IF($A344="""","""", IFERROR(
  INDEX(
    FILTER(CPI_VN!$C$2:$C$82, MONTH(CPI_VN!$A$2:$A$82)=MONTH($A344), YEAR(CPI_VN!$A$2:$A$82)=YEAR($A344)),
    1
  ),
""""))"),2.64)</f>
        <v>2.64</v>
      </c>
      <c r="D344" s="2">
        <f ca="1">IFERROR(__xludf.DUMMYFUNCTION("IF($A344="""","""", IFERROR(
  INDEX(
    FILTER(CPI_US!$D$2:$D$130, MONTH(CPI_US!$A$2:$A$130)=MONTH($A344), YEAR(CPI_US!$A$2:$A$130)=YEAR($A344)),
    1
  ),
""""))"),5.4)</f>
        <v>5.4</v>
      </c>
      <c r="E344" s="2">
        <v>2.153</v>
      </c>
      <c r="F344" s="2">
        <v>0.1</v>
      </c>
      <c r="G344" s="2">
        <v>1357</v>
      </c>
      <c r="H344" s="2">
        <v>4395.26</v>
      </c>
      <c r="I344" s="2">
        <v>10.5</v>
      </c>
      <c r="J344" s="2">
        <v>78.8</v>
      </c>
      <c r="K344" s="2">
        <f ca="1">IFERROR(__xludf.DUMMYFUNCTION("IF($A344="""","""", IFERROR(
  INDEX(
    FILTER(IMEX_VN!$B$2:$B$130, MONTH(IMEX_VN!$A$2:$A$130)=MONTH($A344), YEAR(IMEX_VN!$A$2:$A$130)=YEAR($A344)),
    1
  ),
""""))"),-1.2)</f>
        <v>-1.2</v>
      </c>
      <c r="L344" s="6">
        <v>92</v>
      </c>
      <c r="M344" s="7">
        <v>102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8">
        <v>44409</v>
      </c>
      <c r="B345" s="9">
        <v>22927</v>
      </c>
      <c r="C345" s="2">
        <f ca="1">IFERROR(__xludf.DUMMYFUNCTION("IF($A345="""","""", IFERROR(
  INDEX(
    FILTER(CPI_VN!$C$2:$C$82, MONTH(CPI_VN!$A$2:$A$82)=MONTH($A345), YEAR(CPI_VN!$A$2:$A$82)=YEAR($A345)),
    1
  ),
""""))"),2.82)</f>
        <v>2.82</v>
      </c>
      <c r="D345" s="2">
        <f ca="1">IFERROR(__xludf.DUMMYFUNCTION("IF($A345="""","""", IFERROR(
  INDEX(
    FILTER(CPI_US!$D$2:$D$130, MONTH(CPI_US!$A$2:$A$130)=MONTH($A345), YEAR(CPI_US!$A$2:$A$130)=YEAR($A345)),
    1
  ),
""""))"),5.4)</f>
        <v>5.4</v>
      </c>
      <c r="E345" s="2">
        <v>2.1179999999999999</v>
      </c>
      <c r="F345" s="2">
        <v>7.0000000000000007E-2</v>
      </c>
      <c r="G345" s="2">
        <v>1329</v>
      </c>
      <c r="H345" s="2">
        <v>4436.5200000000004</v>
      </c>
      <c r="I345" s="2">
        <v>11.58</v>
      </c>
      <c r="J345" s="2">
        <v>78.8</v>
      </c>
      <c r="K345" s="2">
        <f ca="1">IFERROR(__xludf.DUMMYFUNCTION("IF($A345="""","""", IFERROR(
  INDEX(
    FILTER(IMEX_VN!$B$2:$B$130, MONTH(IMEX_VN!$A$2:$A$130)=MONTH($A345), YEAR(IMEX_VN!$A$2:$A$130)=YEAR($A345)),
    1
  ),
""""))"),-0.100000000000001)</f>
        <v>-0.100000000000001</v>
      </c>
      <c r="L345" s="6">
        <v>93</v>
      </c>
      <c r="M345" s="7">
        <v>105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8">
        <v>44416</v>
      </c>
      <c r="B346" s="9">
        <v>22830</v>
      </c>
      <c r="C346" s="2">
        <f ca="1">IFERROR(__xludf.DUMMYFUNCTION("IF($A346="""","""", IFERROR(
  INDEX(
    FILTER(CPI_VN!$C$2:$C$82, MONTH(CPI_VN!$A$2:$A$82)=MONTH($A346), YEAR(CPI_VN!$A$2:$A$82)=YEAR($A346)),
    1
  ),
""""))"),2.82)</f>
        <v>2.82</v>
      </c>
      <c r="D346" s="2">
        <f ca="1">IFERROR(__xludf.DUMMYFUNCTION("IF($A346="""","""", IFERROR(
  INDEX(
    FILTER(CPI_US!$D$2:$D$130, MONTH(CPI_US!$A$2:$A$130)=MONTH($A346), YEAR(CPI_US!$A$2:$A$130)=YEAR($A346)),
    1
  ),
""""))"),5.4)</f>
        <v>5.4</v>
      </c>
      <c r="E346" s="2">
        <v>2.16</v>
      </c>
      <c r="F346" s="2">
        <v>0.1</v>
      </c>
      <c r="G346" s="2">
        <v>1313</v>
      </c>
      <c r="H346" s="2">
        <v>4468</v>
      </c>
      <c r="I346" s="2">
        <v>11.58</v>
      </c>
      <c r="J346" s="2">
        <v>78.8</v>
      </c>
      <c r="K346" s="2">
        <f ca="1">IFERROR(__xludf.DUMMYFUNCTION("IF($A346="""","""", IFERROR(
  INDEX(
    FILTER(IMEX_VN!$B$2:$B$130, MONTH(IMEX_VN!$A$2:$A$130)=MONTH($A346), YEAR(IMEX_VN!$A$2:$A$130)=YEAR($A346)),
    1
  ),
""""))"),-0.100000000000001)</f>
        <v>-0.100000000000001</v>
      </c>
      <c r="L346" s="6">
        <v>93</v>
      </c>
      <c r="M346" s="7">
        <v>105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8">
        <v>44423</v>
      </c>
      <c r="B347" s="9">
        <v>22820</v>
      </c>
      <c r="C347" s="2">
        <f ca="1">IFERROR(__xludf.DUMMYFUNCTION("IF($A347="""","""", IFERROR(
  INDEX(
    FILTER(CPI_VN!$C$2:$C$82, MONTH(CPI_VN!$A$2:$A$82)=MONTH($A347), YEAR(CPI_VN!$A$2:$A$82)=YEAR($A347)),
    1
  ),
""""))"),2.82)</f>
        <v>2.82</v>
      </c>
      <c r="D347" s="2">
        <f ca="1">IFERROR(__xludf.DUMMYFUNCTION("IF($A347="""","""", IFERROR(
  INDEX(
    FILTER(CPI_US!$D$2:$D$130, MONTH(CPI_US!$A$2:$A$130)=MONTH($A347), YEAR(CPI_US!$A$2:$A$130)=YEAR($A347)),
    1
  ),
""""))"),5.4)</f>
        <v>5.4</v>
      </c>
      <c r="E347" s="2">
        <v>2.069</v>
      </c>
      <c r="F347" s="2">
        <v>0.1</v>
      </c>
      <c r="G347" s="2">
        <v>1334</v>
      </c>
      <c r="H347" s="2">
        <v>4441.67</v>
      </c>
      <c r="I347" s="2">
        <v>11.58</v>
      </c>
      <c r="J347" s="2">
        <v>78.8</v>
      </c>
      <c r="K347" s="2">
        <f ca="1">IFERROR(__xludf.DUMMYFUNCTION("IF($A347="""","""", IFERROR(
  INDEX(
    FILTER(IMEX_VN!$B$2:$B$130, MONTH(IMEX_VN!$A$2:$A$130)=MONTH($A347), YEAR(IMEX_VN!$A$2:$A$130)=YEAR($A347)),
    1
  ),
""""))"),-0.100000000000001)</f>
        <v>-0.100000000000001</v>
      </c>
      <c r="L347" s="6">
        <v>94</v>
      </c>
      <c r="M347" s="7">
        <v>105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8">
        <v>44430</v>
      </c>
      <c r="B348" s="9">
        <v>22789</v>
      </c>
      <c r="C348" s="2">
        <f ca="1">IFERROR(__xludf.DUMMYFUNCTION("IF($A348="""","""", IFERROR(
  INDEX(
    FILTER(CPI_VN!$C$2:$C$82, MONTH(CPI_VN!$A$2:$A$82)=MONTH($A348), YEAR(CPI_VN!$A$2:$A$82)=YEAR($A348)),
    1
  ),
""""))"),2.82)</f>
        <v>2.82</v>
      </c>
      <c r="D348" s="2">
        <f ca="1">IFERROR(__xludf.DUMMYFUNCTION("IF($A348="""","""", IFERROR(
  INDEX(
    FILTER(CPI_US!$D$2:$D$130, MONTH(CPI_US!$A$2:$A$130)=MONTH($A348), YEAR(CPI_US!$A$2:$A$130)=YEAR($A348)),
    1
  ),
""""))"),5.4)</f>
        <v>5.4</v>
      </c>
      <c r="E348" s="2">
        <v>2.101</v>
      </c>
      <c r="F348" s="2">
        <v>0.09</v>
      </c>
      <c r="G348" s="2">
        <v>1345</v>
      </c>
      <c r="H348" s="2">
        <v>4509.37</v>
      </c>
      <c r="I348" s="2">
        <v>11.58</v>
      </c>
      <c r="J348" s="2">
        <v>78.8</v>
      </c>
      <c r="K348" s="2">
        <f ca="1">IFERROR(__xludf.DUMMYFUNCTION("IF($A348="""","""", IFERROR(
  INDEX(
    FILTER(IMEX_VN!$B$2:$B$130, MONTH(IMEX_VN!$A$2:$A$130)=MONTH($A348), YEAR(IMEX_VN!$A$2:$A$130)=YEAR($A348)),
    1
  ),
""""))"),-0.100000000000001)</f>
        <v>-0.100000000000001</v>
      </c>
      <c r="L348" s="6">
        <v>93</v>
      </c>
      <c r="M348" s="7">
        <v>105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8">
        <v>44437</v>
      </c>
      <c r="B349" s="9">
        <v>22760</v>
      </c>
      <c r="C349" s="2">
        <f ca="1">IFERROR(__xludf.DUMMYFUNCTION("IF($A349="""","""", IFERROR(
  INDEX(
    FILTER(CPI_VN!$C$2:$C$82, MONTH(CPI_VN!$A$2:$A$82)=MONTH($A349), YEAR(CPI_VN!$A$2:$A$82)=YEAR($A349)),
    1
  ),
""""))"),2.82)</f>
        <v>2.82</v>
      </c>
      <c r="D349" s="2">
        <f ca="1">IFERROR(__xludf.DUMMYFUNCTION("IF($A349="""","""", IFERROR(
  INDEX(
    FILTER(CPI_US!$D$2:$D$130, MONTH(CPI_US!$A$2:$A$130)=MONTH($A349), YEAR(CPI_US!$A$2:$A$130)=YEAR($A349)),
    1
  ),
""""))"),5.4)</f>
        <v>5.4</v>
      </c>
      <c r="E349" s="2">
        <v>2.0699999999999998</v>
      </c>
      <c r="F349" s="2">
        <v>0.08</v>
      </c>
      <c r="G349" s="2">
        <v>1352</v>
      </c>
      <c r="H349" s="2">
        <v>4535.43</v>
      </c>
      <c r="I349" s="2">
        <v>11.58</v>
      </c>
      <c r="J349" s="2">
        <v>78.8</v>
      </c>
      <c r="K349" s="2">
        <f ca="1">IFERROR(__xludf.DUMMYFUNCTION("IF($A349="""","""", IFERROR(
  INDEX(
    FILTER(IMEX_VN!$B$2:$B$130, MONTH(IMEX_VN!$A$2:$A$130)=MONTH($A349), YEAR(IMEX_VN!$A$2:$A$130)=YEAR($A349)),
    1
  ),
""""))"),-0.100000000000001)</f>
        <v>-0.100000000000001</v>
      </c>
      <c r="L349" s="6">
        <v>92</v>
      </c>
      <c r="M349" s="7">
        <v>105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8">
        <v>44444</v>
      </c>
      <c r="B350" s="9">
        <v>22757</v>
      </c>
      <c r="C350" s="2">
        <f ca="1">IFERROR(__xludf.DUMMYFUNCTION("IF($A350="""","""", IFERROR(
  INDEX(
    FILTER(CPI_VN!$C$2:$C$82, MONTH(CPI_VN!$A$2:$A$82)=MONTH($A350), YEAR(CPI_VN!$A$2:$A$82)=YEAR($A350)),
    1
  ),
""""))"),2.06)</f>
        <v>2.06</v>
      </c>
      <c r="D350" s="2">
        <f ca="1">IFERROR(__xludf.DUMMYFUNCTION("IF($A350="""","""", IFERROR(
  INDEX(
    FILTER(CPI_US!$D$2:$D$130, MONTH(CPI_US!$A$2:$A$130)=MONTH($A350), YEAR(CPI_US!$A$2:$A$130)=YEAR($A350)),
    1
  ),
""""))"),5.3)</f>
        <v>5.3</v>
      </c>
      <c r="E350" s="2">
        <v>2.077</v>
      </c>
      <c r="F350" s="2">
        <v>0.08</v>
      </c>
      <c r="G350" s="2">
        <v>1351</v>
      </c>
      <c r="H350" s="2">
        <v>4458.58</v>
      </c>
      <c r="I350" s="2">
        <v>13.28</v>
      </c>
      <c r="J350" s="2">
        <v>78.8</v>
      </c>
      <c r="K350" s="2">
        <f ca="1">IFERROR(__xludf.DUMMYFUNCTION("IF($A350="""","""", IFERROR(
  INDEX(
    FILTER(IMEX_VN!$B$2:$B$130, MONTH(IMEX_VN!$A$2:$A$130)=MONTH($A350), YEAR(IMEX_VN!$A$2:$A$130)=YEAR($A350)),
    1
  ),
""""))"),0.3)</f>
        <v>0.3</v>
      </c>
      <c r="L350" s="6">
        <v>93</v>
      </c>
      <c r="M350" s="7">
        <v>105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8">
        <v>44451</v>
      </c>
      <c r="B351" s="9">
        <v>22770</v>
      </c>
      <c r="C351" s="2">
        <f ca="1">IFERROR(__xludf.DUMMYFUNCTION("IF($A351="""","""", IFERROR(
  INDEX(
    FILTER(CPI_VN!$C$2:$C$82, MONTH(CPI_VN!$A$2:$A$82)=MONTH($A351), YEAR(CPI_VN!$A$2:$A$82)=YEAR($A351)),
    1
  ),
""""))"),2.06)</f>
        <v>2.06</v>
      </c>
      <c r="D351" s="2">
        <f ca="1">IFERROR(__xludf.DUMMYFUNCTION("IF($A351="""","""", IFERROR(
  INDEX(
    FILTER(CPI_US!$D$2:$D$130, MONTH(CPI_US!$A$2:$A$130)=MONTH($A351), YEAR(CPI_US!$A$2:$A$130)=YEAR($A351)),
    1
  ),
""""))"),5.3)</f>
        <v>5.3</v>
      </c>
      <c r="E351" s="2">
        <v>2.0710000000000002</v>
      </c>
      <c r="F351" s="2">
        <v>0.08</v>
      </c>
      <c r="G351" s="2">
        <v>1334</v>
      </c>
      <c r="H351" s="2">
        <v>4432.99</v>
      </c>
      <c r="I351" s="2">
        <v>13.28</v>
      </c>
      <c r="J351" s="2">
        <v>78.8</v>
      </c>
      <c r="K351" s="2">
        <f ca="1">IFERROR(__xludf.DUMMYFUNCTION("IF($A351="""","""", IFERROR(
  INDEX(
    FILTER(IMEX_VN!$B$2:$B$130, MONTH(IMEX_VN!$A$2:$A$130)=MONTH($A351), YEAR(IMEX_VN!$A$2:$A$130)=YEAR($A351)),
    1
  ),
""""))"),0.3)</f>
        <v>0.3</v>
      </c>
      <c r="L351" s="6">
        <v>93</v>
      </c>
      <c r="M351" s="7">
        <v>105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8">
        <v>44458</v>
      </c>
      <c r="B352" s="9">
        <v>22760</v>
      </c>
      <c r="C352" s="2">
        <f ca="1">IFERROR(__xludf.DUMMYFUNCTION("IF($A352="""","""", IFERROR(
  INDEX(
    FILTER(CPI_VN!$C$2:$C$82, MONTH(CPI_VN!$A$2:$A$82)=MONTH($A352), YEAR(CPI_VN!$A$2:$A$82)=YEAR($A352)),
    1
  ),
""""))"),2.06)</f>
        <v>2.06</v>
      </c>
      <c r="D352" s="2">
        <f ca="1">IFERROR(__xludf.DUMMYFUNCTION("IF($A352="""","""", IFERROR(
  INDEX(
    FILTER(CPI_US!$D$2:$D$130, MONTH(CPI_US!$A$2:$A$130)=MONTH($A352), YEAR(CPI_US!$A$2:$A$130)=YEAR($A352)),
    1
  ),
""""))"),5.3)</f>
        <v>5.3</v>
      </c>
      <c r="E352" s="2">
        <v>2.1179999999999999</v>
      </c>
      <c r="F352" s="2">
        <v>0.08</v>
      </c>
      <c r="G352" s="2">
        <v>1372</v>
      </c>
      <c r="H352" s="2">
        <v>4455.4799999999996</v>
      </c>
      <c r="I352" s="2">
        <v>13.28</v>
      </c>
      <c r="J352" s="2">
        <v>78.8</v>
      </c>
      <c r="K352" s="2">
        <f ca="1">IFERROR(__xludf.DUMMYFUNCTION("IF($A352="""","""", IFERROR(
  INDEX(
    FILTER(IMEX_VN!$B$2:$B$130, MONTH(IMEX_VN!$A$2:$A$130)=MONTH($A352), YEAR(IMEX_VN!$A$2:$A$130)=YEAR($A352)),
    1
  ),
""""))"),0.3)</f>
        <v>0.3</v>
      </c>
      <c r="L352" s="6">
        <v>93</v>
      </c>
      <c r="M352" s="7">
        <v>105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8">
        <v>44465</v>
      </c>
      <c r="B353" s="9">
        <v>22757</v>
      </c>
      <c r="C353" s="2">
        <f ca="1">IFERROR(__xludf.DUMMYFUNCTION("IF($A353="""","""", IFERROR(
  INDEX(
    FILTER(CPI_VN!$C$2:$C$82, MONTH(CPI_VN!$A$2:$A$82)=MONTH($A353), YEAR(CPI_VN!$A$2:$A$82)=YEAR($A353)),
    1
  ),
""""))"),2.06)</f>
        <v>2.06</v>
      </c>
      <c r="D353" s="2">
        <f ca="1">IFERROR(__xludf.DUMMYFUNCTION("IF($A353="""","""", IFERROR(
  INDEX(
    FILTER(CPI_US!$D$2:$D$130, MONTH(CPI_US!$A$2:$A$130)=MONTH($A353), YEAR(CPI_US!$A$2:$A$130)=YEAR($A353)),
    1
  ),
""""))"),5.3)</f>
        <v>5.3</v>
      </c>
      <c r="E353" s="2">
        <v>2.121</v>
      </c>
      <c r="F353" s="2">
        <v>0.08</v>
      </c>
      <c r="G353" s="2">
        <v>1392</v>
      </c>
      <c r="H353" s="2">
        <v>4357.04</v>
      </c>
      <c r="I353" s="2">
        <v>13.28</v>
      </c>
      <c r="J353" s="2">
        <v>78.8</v>
      </c>
      <c r="K353" s="2">
        <f ca="1">IFERROR(__xludf.DUMMYFUNCTION("IF($A353="""","""", IFERROR(
  INDEX(
    FILTER(IMEX_VN!$B$2:$B$130, MONTH(IMEX_VN!$A$2:$A$130)=MONTH($A353), YEAR(IMEX_VN!$A$2:$A$130)=YEAR($A353)),
    1
  ),
""""))"),0.3)</f>
        <v>0.3</v>
      </c>
      <c r="L353" s="6">
        <v>94</v>
      </c>
      <c r="M353" s="7">
        <v>105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8">
        <v>44472</v>
      </c>
      <c r="B354" s="9">
        <v>22757</v>
      </c>
      <c r="C354" s="2">
        <f ca="1">IFERROR(__xludf.DUMMYFUNCTION("IF($A354="""","""", IFERROR(
  INDEX(
    FILTER(CPI_VN!$C$2:$C$82, MONTH(CPI_VN!$A$2:$A$82)=MONTH($A354), YEAR(CPI_VN!$A$2:$A$82)=YEAR($A354)),
    1
  ),
""""))"),1.77)</f>
        <v>1.77</v>
      </c>
      <c r="D354" s="2">
        <f ca="1">IFERROR(__xludf.DUMMYFUNCTION("IF($A354="""","""", IFERROR(
  INDEX(
    FILTER(CPI_US!$D$2:$D$130, MONTH(CPI_US!$A$2:$A$130)=MONTH($A354), YEAR(CPI_US!$A$2:$A$130)=YEAR($A354)),
    1
  ),
""""))"),5.4)</f>
        <v>5.4</v>
      </c>
      <c r="E354" s="2">
        <v>2.1320000000000001</v>
      </c>
      <c r="F354" s="2">
        <v>0.08</v>
      </c>
      <c r="G354" s="2">
        <v>1389</v>
      </c>
      <c r="H354" s="2">
        <v>4391.34</v>
      </c>
      <c r="I354" s="2">
        <v>15.15</v>
      </c>
      <c r="J354" s="2">
        <v>73</v>
      </c>
      <c r="K354" s="2">
        <f ca="1">IFERROR(__xludf.DUMMYFUNCTION("IF($A354="""","""", IFERROR(
  INDEX(
    FILTER(IMEX_VN!$B$2:$B$130, MONTH(IMEX_VN!$A$2:$A$130)=MONTH($A354), YEAR(IMEX_VN!$A$2:$A$130)=YEAR($A354)),
    1
  ),
""""))"),2.79999999999999)</f>
        <v>2.7999999999999901</v>
      </c>
      <c r="L354" s="6">
        <v>94</v>
      </c>
      <c r="M354" s="7">
        <v>105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8">
        <v>44479</v>
      </c>
      <c r="B355" s="9">
        <v>22758</v>
      </c>
      <c r="C355" s="2">
        <f ca="1">IFERROR(__xludf.DUMMYFUNCTION("IF($A355="""","""", IFERROR(
  INDEX(
    FILTER(CPI_VN!$C$2:$C$82, MONTH(CPI_VN!$A$2:$A$82)=MONTH($A355), YEAR(CPI_VN!$A$2:$A$82)=YEAR($A355)),
    1
  ),
""""))"),1.77)</f>
        <v>1.77</v>
      </c>
      <c r="D355" s="2">
        <f ca="1">IFERROR(__xludf.DUMMYFUNCTION("IF($A355="""","""", IFERROR(
  INDEX(
    FILTER(CPI_US!$D$2:$D$130, MONTH(CPI_US!$A$2:$A$130)=MONTH($A355), YEAR(CPI_US!$A$2:$A$130)=YEAR($A355)),
    1
  ),
""""))"),5.4)</f>
        <v>5.4</v>
      </c>
      <c r="E355" s="2">
        <v>2.1230000000000002</v>
      </c>
      <c r="F355" s="2">
        <v>0.08</v>
      </c>
      <c r="G355" s="2">
        <v>1444</v>
      </c>
      <c r="H355" s="2">
        <v>4471.37</v>
      </c>
      <c r="I355" s="2">
        <v>15.15</v>
      </c>
      <c r="J355" s="2">
        <v>73</v>
      </c>
      <c r="K355" s="2">
        <f ca="1">IFERROR(__xludf.DUMMYFUNCTION("IF($A355="""","""", IFERROR(
  INDEX(
    FILTER(IMEX_VN!$B$2:$B$130, MONTH(IMEX_VN!$A$2:$A$130)=MONTH($A355), YEAR(IMEX_VN!$A$2:$A$130)=YEAR($A355)),
    1
  ),
""""))"),2.79999999999999)</f>
        <v>2.7999999999999901</v>
      </c>
      <c r="L355" s="6">
        <v>94</v>
      </c>
      <c r="M355" s="7">
        <v>105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8">
        <v>44486</v>
      </c>
      <c r="B356" s="9">
        <v>22754</v>
      </c>
      <c r="C356" s="2">
        <f ca="1">IFERROR(__xludf.DUMMYFUNCTION("IF($A356="""","""", IFERROR(
  INDEX(
    FILTER(CPI_VN!$C$2:$C$82, MONTH(CPI_VN!$A$2:$A$82)=MONTH($A356), YEAR(CPI_VN!$A$2:$A$82)=YEAR($A356)),
    1
  ),
""""))"),1.77)</f>
        <v>1.77</v>
      </c>
      <c r="D356" s="2">
        <f ca="1">IFERROR(__xludf.DUMMYFUNCTION("IF($A356="""","""", IFERROR(
  INDEX(
    FILTER(CPI_US!$D$2:$D$130, MONTH(CPI_US!$A$2:$A$130)=MONTH($A356), YEAR(CPI_US!$A$2:$A$130)=YEAR($A356)),
    1
  ),
""""))"),5.4)</f>
        <v>5.4</v>
      </c>
      <c r="E356" s="2">
        <v>2.1139999999999999</v>
      </c>
      <c r="F356" s="2">
        <v>0.08</v>
      </c>
      <c r="G356" s="2">
        <v>1456</v>
      </c>
      <c r="H356" s="2">
        <v>4544.8999999999996</v>
      </c>
      <c r="I356" s="2">
        <v>15.15</v>
      </c>
      <c r="J356" s="2">
        <v>73</v>
      </c>
      <c r="K356" s="2">
        <f ca="1">IFERROR(__xludf.DUMMYFUNCTION("IF($A356="""","""", IFERROR(
  INDEX(
    FILTER(IMEX_VN!$B$2:$B$130, MONTH(IMEX_VN!$A$2:$A$130)=MONTH($A356), YEAR(IMEX_VN!$A$2:$A$130)=YEAR($A356)),
    1
  ),
""""))"),2.79999999999999)</f>
        <v>2.7999999999999901</v>
      </c>
      <c r="L356" s="6">
        <v>94</v>
      </c>
      <c r="M356" s="7">
        <v>105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8">
        <v>44493</v>
      </c>
      <c r="B357" s="9">
        <v>22750</v>
      </c>
      <c r="C357" s="2">
        <f ca="1">IFERROR(__xludf.DUMMYFUNCTION("IF($A357="""","""", IFERROR(
  INDEX(
    FILTER(CPI_VN!$C$2:$C$82, MONTH(CPI_VN!$A$2:$A$82)=MONTH($A357), YEAR(CPI_VN!$A$2:$A$82)=YEAR($A357)),
    1
  ),
""""))"),1.77)</f>
        <v>1.77</v>
      </c>
      <c r="D357" s="2">
        <f ca="1">IFERROR(__xludf.DUMMYFUNCTION("IF($A357="""","""", IFERROR(
  INDEX(
    FILTER(CPI_US!$D$2:$D$130, MONTH(CPI_US!$A$2:$A$130)=MONTH($A357), YEAR(CPI_US!$A$2:$A$130)=YEAR($A357)),
    1
  ),
""""))"),5.4)</f>
        <v>5.4</v>
      </c>
      <c r="E357" s="2">
        <v>2.1160000000000001</v>
      </c>
      <c r="F357" s="2">
        <v>0.08</v>
      </c>
      <c r="G357" s="2">
        <v>1473</v>
      </c>
      <c r="H357" s="2">
        <v>4605.38</v>
      </c>
      <c r="I357" s="2">
        <v>15.15</v>
      </c>
      <c r="J357" s="2">
        <v>73</v>
      </c>
      <c r="K357" s="2">
        <f ca="1">IFERROR(__xludf.DUMMYFUNCTION("IF($A357="""","""", IFERROR(
  INDEX(
    FILTER(IMEX_VN!$B$2:$B$130, MONTH(IMEX_VN!$A$2:$A$130)=MONTH($A357), YEAR(IMEX_VN!$A$2:$A$130)=YEAR($A357)),
    1
  ),
""""))"),2.79999999999999)</f>
        <v>2.7999999999999901</v>
      </c>
      <c r="L357" s="6">
        <v>94</v>
      </c>
      <c r="M357" s="7">
        <v>105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8">
        <v>44500</v>
      </c>
      <c r="B358" s="9">
        <v>22680</v>
      </c>
      <c r="C358" s="2">
        <f ca="1">IFERROR(__xludf.DUMMYFUNCTION("IF($A358="""","""", IFERROR(
  INDEX(
    FILTER(CPI_VN!$C$2:$C$82, MONTH(CPI_VN!$A$2:$A$82)=MONTH($A358), YEAR(CPI_VN!$A$2:$A$82)=YEAR($A358)),
    1
  ),
""""))"),1.77)</f>
        <v>1.77</v>
      </c>
      <c r="D358" s="2">
        <f ca="1">IFERROR(__xludf.DUMMYFUNCTION("IF($A358="""","""", IFERROR(
  INDEX(
    FILTER(CPI_US!$D$2:$D$130, MONTH(CPI_US!$A$2:$A$130)=MONTH($A358), YEAR(CPI_US!$A$2:$A$130)=YEAR($A358)),
    1
  ),
""""))"),5.4)</f>
        <v>5.4</v>
      </c>
      <c r="E358" s="2">
        <v>2.1339999999999999</v>
      </c>
      <c r="F358" s="2">
        <v>7.0000000000000007E-2</v>
      </c>
      <c r="G358" s="2">
        <v>1452</v>
      </c>
      <c r="H358" s="2">
        <v>4697.53</v>
      </c>
      <c r="I358" s="2">
        <v>15.15</v>
      </c>
      <c r="J358" s="2">
        <v>73</v>
      </c>
      <c r="K358" s="2">
        <f ca="1">IFERROR(__xludf.DUMMYFUNCTION("IF($A358="""","""", IFERROR(
  INDEX(
    FILTER(IMEX_VN!$B$2:$B$130, MONTH(IMEX_VN!$A$2:$A$130)=MONTH($A358), YEAR(IMEX_VN!$A$2:$A$130)=YEAR($A358)),
    1
  ),
""""))"),2.79999999999999)</f>
        <v>2.7999999999999901</v>
      </c>
      <c r="L358" s="6">
        <v>94</v>
      </c>
      <c r="M358" s="7">
        <v>105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8">
        <v>44507</v>
      </c>
      <c r="B359" s="9">
        <v>22640</v>
      </c>
      <c r="C359" s="2">
        <f ca="1">IFERROR(__xludf.DUMMYFUNCTION("IF($A359="""","""", IFERROR(
  INDEX(
    FILTER(CPI_VN!$C$2:$C$82, MONTH(CPI_VN!$A$2:$A$82)=MONTH($A359), YEAR(CPI_VN!$A$2:$A$82)=YEAR($A359)),
    1
  ),
""""))"),2.1)</f>
        <v>2.1</v>
      </c>
      <c r="D359" s="2">
        <f ca="1">IFERROR(__xludf.DUMMYFUNCTION("IF($A359="""","""", IFERROR(
  INDEX(
    FILTER(CPI_US!$D$2:$D$130, MONTH(CPI_US!$A$2:$A$130)=MONTH($A359), YEAR(CPI_US!$A$2:$A$130)=YEAR($A359)),
    1
  ),
""""))"),6.2)</f>
        <v>6.2</v>
      </c>
      <c r="E359" s="2">
        <v>2.0920000000000001</v>
      </c>
      <c r="F359" s="2">
        <v>0.08</v>
      </c>
      <c r="G359" s="2">
        <v>1493</v>
      </c>
      <c r="H359" s="2">
        <v>4682.8500000000004</v>
      </c>
      <c r="I359" s="2">
        <v>17.100000000000001</v>
      </c>
      <c r="J359" s="2">
        <v>73</v>
      </c>
      <c r="K359" s="2">
        <f ca="1">IFERROR(__xludf.DUMMYFUNCTION("IF($A359="""","""", IFERROR(
  INDEX(
    FILTER(IMEX_VN!$B$2:$B$130, MONTH(IMEX_VN!$A$2:$A$130)=MONTH($A359), YEAR(IMEX_VN!$A$2:$A$130)=YEAR($A359)),
    1
  ),
""""))"),1.29999999999999)</f>
        <v>1.2999999999999901</v>
      </c>
      <c r="L359" s="6">
        <v>95</v>
      </c>
      <c r="M359" s="7">
        <v>108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8">
        <v>44514</v>
      </c>
      <c r="B360" s="9">
        <v>22657</v>
      </c>
      <c r="C360" s="2">
        <f ca="1">IFERROR(__xludf.DUMMYFUNCTION("IF($A360="""","""", IFERROR(
  INDEX(
    FILTER(CPI_VN!$C$2:$C$82, MONTH(CPI_VN!$A$2:$A$82)=MONTH($A360), YEAR(CPI_VN!$A$2:$A$82)=YEAR($A360)),
    1
  ),
""""))"),2.1)</f>
        <v>2.1</v>
      </c>
      <c r="D360" s="2">
        <f ca="1">IFERROR(__xludf.DUMMYFUNCTION("IF($A360="""","""", IFERROR(
  INDEX(
    FILTER(CPI_US!$D$2:$D$130, MONTH(CPI_US!$A$2:$A$130)=MONTH($A360), YEAR(CPI_US!$A$2:$A$130)=YEAR($A360)),
    1
  ),
""""))"),6.2)</f>
        <v>6.2</v>
      </c>
      <c r="E360" s="2">
        <v>2.0489999999999999</v>
      </c>
      <c r="F360" s="2">
        <v>0.08</v>
      </c>
      <c r="G360" s="2">
        <v>1443</v>
      </c>
      <c r="H360" s="2">
        <v>4697.96</v>
      </c>
      <c r="I360" s="2">
        <v>17.100000000000001</v>
      </c>
      <c r="J360" s="2">
        <v>73</v>
      </c>
      <c r="K360" s="2">
        <f ca="1">IFERROR(__xludf.DUMMYFUNCTION("IF($A360="""","""", IFERROR(
  INDEX(
    FILTER(IMEX_VN!$B$2:$B$130, MONTH(IMEX_VN!$A$2:$A$130)=MONTH($A360), YEAR(IMEX_VN!$A$2:$A$130)=YEAR($A360)),
    1
  ),
""""))"),1.29999999999999)</f>
        <v>1.2999999999999901</v>
      </c>
      <c r="L360" s="6">
        <v>96</v>
      </c>
      <c r="M360" s="7">
        <v>108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8">
        <v>44521</v>
      </c>
      <c r="B361" s="9">
        <v>22678</v>
      </c>
      <c r="C361" s="2">
        <f ca="1">IFERROR(__xludf.DUMMYFUNCTION("IF($A361="""","""", IFERROR(
  INDEX(
    FILTER(CPI_VN!$C$2:$C$82, MONTH(CPI_VN!$A$2:$A$82)=MONTH($A361), YEAR(CPI_VN!$A$2:$A$82)=YEAR($A361)),
    1
  ),
""""))"),2.1)</f>
        <v>2.1</v>
      </c>
      <c r="D361" s="2">
        <f ca="1">IFERROR(__xludf.DUMMYFUNCTION("IF($A361="""","""", IFERROR(
  INDEX(
    FILTER(CPI_US!$D$2:$D$130, MONTH(CPI_US!$A$2:$A$130)=MONTH($A361), YEAR(CPI_US!$A$2:$A$130)=YEAR($A361)),
    1
  ),
""""))"),6.2)</f>
        <v>6.2</v>
      </c>
      <c r="E361" s="2">
        <v>2.0680000000000001</v>
      </c>
      <c r="F361" s="2">
        <v>0.08</v>
      </c>
      <c r="G361" s="2">
        <v>1463</v>
      </c>
      <c r="H361" s="2">
        <v>4594.62</v>
      </c>
      <c r="I361" s="2">
        <v>17.100000000000001</v>
      </c>
      <c r="J361" s="2">
        <v>73</v>
      </c>
      <c r="K361" s="2">
        <f ca="1">IFERROR(__xludf.DUMMYFUNCTION("IF($A361="""","""", IFERROR(
  INDEX(
    FILTER(IMEX_VN!$B$2:$B$130, MONTH(IMEX_VN!$A$2:$A$130)=MONTH($A361), YEAR(IMEX_VN!$A$2:$A$130)=YEAR($A361)),
    1
  ),
""""))"),1.29999999999999)</f>
        <v>1.2999999999999901</v>
      </c>
      <c r="L361" s="6">
        <v>96</v>
      </c>
      <c r="M361" s="7">
        <v>108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8">
        <v>44528</v>
      </c>
      <c r="B362" s="9">
        <v>22830</v>
      </c>
      <c r="C362" s="2">
        <f ca="1">IFERROR(__xludf.DUMMYFUNCTION("IF($A362="""","""", IFERROR(
  INDEX(
    FILTER(CPI_VN!$C$2:$C$82, MONTH(CPI_VN!$A$2:$A$82)=MONTH($A362), YEAR(CPI_VN!$A$2:$A$82)=YEAR($A362)),
    1
  ),
""""))"),2.1)</f>
        <v>2.1</v>
      </c>
      <c r="D362" s="2">
        <f ca="1">IFERROR(__xludf.DUMMYFUNCTION("IF($A362="""","""", IFERROR(
  INDEX(
    FILTER(CPI_US!$D$2:$D$130, MONTH(CPI_US!$A$2:$A$130)=MONTH($A362), YEAR(CPI_US!$A$2:$A$130)=YEAR($A362)),
    1
  ),
""""))"),6.2)</f>
        <v>6.2</v>
      </c>
      <c r="E362" s="2">
        <v>2.093</v>
      </c>
      <c r="F362" s="2">
        <v>0.08</v>
      </c>
      <c r="G362" s="2">
        <v>1479</v>
      </c>
      <c r="H362" s="2">
        <v>4538.43</v>
      </c>
      <c r="I362" s="2">
        <v>17.100000000000001</v>
      </c>
      <c r="J362" s="2">
        <v>73</v>
      </c>
      <c r="K362" s="2">
        <f ca="1">IFERROR(__xludf.DUMMYFUNCTION("IF($A362="""","""", IFERROR(
  INDEX(
    FILTER(IMEX_VN!$B$2:$B$130, MONTH(IMEX_VN!$A$2:$A$130)=MONTH($A362), YEAR(IMEX_VN!$A$2:$A$130)=YEAR($A362)),
    1
  ),
""""))"),1.29999999999999)</f>
        <v>1.2999999999999901</v>
      </c>
      <c r="L362" s="6">
        <v>96</v>
      </c>
      <c r="M362" s="7">
        <v>108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8">
        <v>44535</v>
      </c>
      <c r="B363" s="9">
        <v>23025</v>
      </c>
      <c r="C363" s="2">
        <f ca="1">IFERROR(__xludf.DUMMYFUNCTION("IF($A363="""","""", IFERROR(
  INDEX(
    FILTER(CPI_VN!$C$2:$C$82, MONTH(CPI_VN!$A$2:$A$82)=MONTH($A363), YEAR(CPI_VN!$A$2:$A$82)=YEAR($A363)),
    1
  ),
""""))"),1.81)</f>
        <v>1.81</v>
      </c>
      <c r="D363" s="2">
        <f ca="1">IFERROR(__xludf.DUMMYFUNCTION("IF($A363="""","""", IFERROR(
  INDEX(
    FILTER(CPI_US!$D$2:$D$130, MONTH(CPI_US!$A$2:$A$130)=MONTH($A363), YEAR(CPI_US!$A$2:$A$130)=YEAR($A363)),
    1
  ),
""""))"),6.8)</f>
        <v>6.8</v>
      </c>
      <c r="E363" s="2">
        <v>2.0760000000000001</v>
      </c>
      <c r="F363" s="2">
        <v>0.08</v>
      </c>
      <c r="G363" s="2">
        <v>1477</v>
      </c>
      <c r="H363" s="2">
        <v>4712.0200000000004</v>
      </c>
      <c r="I363" s="2">
        <v>19.739999999999998</v>
      </c>
      <c r="J363" s="2">
        <v>73</v>
      </c>
      <c r="K363" s="2">
        <f ca="1">IFERROR(__xludf.DUMMYFUNCTION("IF($A363="""","""", IFERROR(
  INDEX(
    FILTER(IMEX_VN!$B$2:$B$130, MONTH(IMEX_VN!$A$2:$A$130)=MONTH($A363), YEAR(IMEX_VN!$A$2:$A$130)=YEAR($A363)),
    1
  ),
""""))"),3)</f>
        <v>3</v>
      </c>
      <c r="L363" s="6">
        <v>96</v>
      </c>
      <c r="M363" s="7">
        <v>107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8">
        <v>44542</v>
      </c>
      <c r="B364" s="9">
        <v>22980</v>
      </c>
      <c r="C364" s="2">
        <f ca="1">IFERROR(__xludf.DUMMYFUNCTION("IF($A364="""","""", IFERROR(
  INDEX(
    FILTER(CPI_VN!$C$2:$C$82, MONTH(CPI_VN!$A$2:$A$82)=MONTH($A364), YEAR(CPI_VN!$A$2:$A$82)=YEAR($A364)),
    1
  ),
""""))"),1.81)</f>
        <v>1.81</v>
      </c>
      <c r="D364" s="2">
        <f ca="1">IFERROR(__xludf.DUMMYFUNCTION("IF($A364="""","""", IFERROR(
  INDEX(
    FILTER(CPI_US!$D$2:$D$130, MONTH(CPI_US!$A$2:$A$130)=MONTH($A364), YEAR(CPI_US!$A$2:$A$130)=YEAR($A364)),
    1
  ),
""""))"),6.8)</f>
        <v>6.8</v>
      </c>
      <c r="E364" s="2">
        <v>2.0920000000000001</v>
      </c>
      <c r="F364" s="2">
        <v>0.08</v>
      </c>
      <c r="G364" s="2">
        <v>1498</v>
      </c>
      <c r="H364" s="2">
        <v>4620.6400000000003</v>
      </c>
      <c r="I364" s="2">
        <v>19.739999999999998</v>
      </c>
      <c r="J364" s="2">
        <v>73</v>
      </c>
      <c r="K364" s="2">
        <f ca="1">IFERROR(__xludf.DUMMYFUNCTION("IF($A364="""","""", IFERROR(
  INDEX(
    FILTER(IMEX_VN!$B$2:$B$130, MONTH(IMEX_VN!$A$2:$A$130)=MONTH($A364), YEAR(IMEX_VN!$A$2:$A$130)=YEAR($A364)),
    1
  ),
""""))"),3)</f>
        <v>3</v>
      </c>
      <c r="L364" s="6">
        <v>97</v>
      </c>
      <c r="M364" s="7">
        <v>107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8">
        <v>44549</v>
      </c>
      <c r="B365" s="9">
        <v>22840</v>
      </c>
      <c r="C365" s="2">
        <f ca="1">IFERROR(__xludf.DUMMYFUNCTION("IF($A365="""","""", IFERROR(
  INDEX(
    FILTER(CPI_VN!$C$2:$C$82, MONTH(CPI_VN!$A$2:$A$82)=MONTH($A365), YEAR(CPI_VN!$A$2:$A$82)=YEAR($A365)),
    1
  ),
""""))"),1.81)</f>
        <v>1.81</v>
      </c>
      <c r="D365" s="2">
        <f ca="1">IFERROR(__xludf.DUMMYFUNCTION("IF($A365="""","""", IFERROR(
  INDEX(
    FILTER(CPI_US!$D$2:$D$130, MONTH(CPI_US!$A$2:$A$130)=MONTH($A365), YEAR(CPI_US!$A$2:$A$130)=YEAR($A365)),
    1
  ),
""""))"),6.8)</f>
        <v>6.8</v>
      </c>
      <c r="E365" s="2">
        <v>2.089</v>
      </c>
      <c r="F365" s="2">
        <v>0.08</v>
      </c>
      <c r="G365" s="2">
        <v>1528</v>
      </c>
      <c r="H365" s="2">
        <v>4725.79</v>
      </c>
      <c r="I365" s="2">
        <v>19.739999999999998</v>
      </c>
      <c r="J365" s="2">
        <v>73</v>
      </c>
      <c r="K365" s="2">
        <f ca="1">IFERROR(__xludf.DUMMYFUNCTION("IF($A365="""","""", IFERROR(
  INDEX(
    FILTER(IMEX_VN!$B$2:$B$130, MONTH(IMEX_VN!$A$2:$A$130)=MONTH($A365), YEAR(IMEX_VN!$A$2:$A$130)=YEAR($A365)),
    1
  ),
""""))"),3)</f>
        <v>3</v>
      </c>
      <c r="L365" s="6">
        <v>96</v>
      </c>
      <c r="M365" s="7">
        <v>107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8">
        <v>44556</v>
      </c>
      <c r="B366" s="9">
        <v>22825</v>
      </c>
      <c r="C366" s="2">
        <f ca="1">IFERROR(__xludf.DUMMYFUNCTION("IF($A366="""","""", IFERROR(
  INDEX(
    FILTER(CPI_VN!$C$2:$C$82, MONTH(CPI_VN!$A$2:$A$82)=MONTH($A366), YEAR(CPI_VN!$A$2:$A$82)=YEAR($A366)),
    1
  ),
""""))"),1.81)</f>
        <v>1.81</v>
      </c>
      <c r="D366" s="2">
        <f ca="1">IFERROR(__xludf.DUMMYFUNCTION("IF($A366="""","""", IFERROR(
  INDEX(
    FILTER(CPI_US!$D$2:$D$130, MONTH(CPI_US!$A$2:$A$130)=MONTH($A366), YEAR(CPI_US!$A$2:$A$130)=YEAR($A366)),
    1
  ),
""""))"),6.8)</f>
        <v>6.8</v>
      </c>
      <c r="E366" s="2">
        <v>2.1</v>
      </c>
      <c r="F366" s="2">
        <v>0.08</v>
      </c>
      <c r="G366" s="2">
        <v>1496</v>
      </c>
      <c r="H366" s="2">
        <v>4766.18</v>
      </c>
      <c r="I366" s="2">
        <v>19.739999999999998</v>
      </c>
      <c r="J366" s="2">
        <v>73</v>
      </c>
      <c r="K366" s="2">
        <f ca="1">IFERROR(__xludf.DUMMYFUNCTION("IF($A366="""","""", IFERROR(
  INDEX(
    FILTER(IMEX_VN!$B$2:$B$130, MONTH(IMEX_VN!$A$2:$A$130)=MONTH($A366), YEAR(IMEX_VN!$A$2:$A$130)=YEAR($A366)),
    1
  ),
""""))"),3)</f>
        <v>3</v>
      </c>
      <c r="L366" s="6">
        <v>96</v>
      </c>
      <c r="M366" s="7">
        <v>107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8">
        <v>44563</v>
      </c>
      <c r="B367" s="9">
        <v>22685</v>
      </c>
      <c r="C367" s="2">
        <f ca="1">IFERROR(__xludf.DUMMYFUNCTION("IF($A367="""","""", IFERROR(
  INDEX(
    FILTER(CPI_VN!$C$2:$C$82, MONTH(CPI_VN!$A$2:$A$82)=MONTH($A367), YEAR(CPI_VN!$A$2:$A$82)=YEAR($A367)),
    1
  ),
""""))"),1.94)</f>
        <v>1.94</v>
      </c>
      <c r="D367" s="2">
        <f ca="1">IFERROR(__xludf.DUMMYFUNCTION("IF($A367="""","""", IFERROR(
  INDEX(
    FILTER(CPI_US!$D$2:$D$130, MONTH(CPI_US!$A$2:$A$130)=MONTH($A367), YEAR(CPI_US!$A$2:$A$130)=YEAR($A367)),
    1
  ),
""""))"),7)</f>
        <v>7</v>
      </c>
      <c r="E367" s="2">
        <v>2.1760000000000002</v>
      </c>
      <c r="F367" s="2">
        <v>7.0000000000000007E-2</v>
      </c>
      <c r="G367" s="2">
        <v>1472</v>
      </c>
      <c r="H367" s="2">
        <v>4677.03</v>
      </c>
      <c r="I367" s="2">
        <v>1.61</v>
      </c>
      <c r="J367" s="2">
        <v>76.599999999999994</v>
      </c>
      <c r="K367" s="2">
        <f ca="1">IFERROR(__xludf.DUMMYFUNCTION("IF($A367="""","""", IFERROR(
  INDEX(
    FILTER(IMEX_VN!$B$2:$B$130, MONTH(IMEX_VN!$A$2:$A$130)=MONTH($A367), YEAR(IMEX_VN!$A$2:$A$130)=YEAR($A367)),
    1
  ),
""""))"),1.3)</f>
        <v>1.3</v>
      </c>
      <c r="L367" s="6">
        <v>96</v>
      </c>
      <c r="M367" s="7">
        <v>110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8">
        <v>44570</v>
      </c>
      <c r="B368" s="9">
        <v>22710</v>
      </c>
      <c r="C368" s="2">
        <f ca="1">IFERROR(__xludf.DUMMYFUNCTION("IF($A368="""","""", IFERROR(
  INDEX(
    FILTER(CPI_VN!$C$2:$C$82, MONTH(CPI_VN!$A$2:$A$82)=MONTH($A368), YEAR(CPI_VN!$A$2:$A$82)=YEAR($A368)),
    1
  ),
""""))"),1.94)</f>
        <v>1.94</v>
      </c>
      <c r="D368" s="2">
        <f ca="1">IFERROR(__xludf.DUMMYFUNCTION("IF($A368="""","""", IFERROR(
  INDEX(
    FILTER(CPI_US!$D$2:$D$130, MONTH(CPI_US!$A$2:$A$130)=MONTH($A368), YEAR(CPI_US!$A$2:$A$130)=YEAR($A368)),
    1
  ),
""""))"),7)</f>
        <v>7</v>
      </c>
      <c r="E368" s="2">
        <v>2.14</v>
      </c>
      <c r="F368" s="2">
        <v>0.08</v>
      </c>
      <c r="G368" s="2">
        <v>1478</v>
      </c>
      <c r="H368" s="2">
        <v>4662.8500000000004</v>
      </c>
      <c r="I368" s="2">
        <v>1.61</v>
      </c>
      <c r="J368" s="2">
        <v>76.599999999999994</v>
      </c>
      <c r="K368" s="2">
        <f ca="1">IFERROR(__xludf.DUMMYFUNCTION("IF($A368="""","""", IFERROR(
  INDEX(
    FILTER(IMEX_VN!$B$2:$B$130, MONTH(IMEX_VN!$A$2:$A$130)=MONTH($A368), YEAR(IMEX_VN!$A$2:$A$130)=YEAR($A368)),
    1
  ),
""""))"),1.3)</f>
        <v>1.3</v>
      </c>
      <c r="L368" s="6">
        <v>95</v>
      </c>
      <c r="M368" s="7">
        <v>110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8">
        <v>44577</v>
      </c>
      <c r="B369" s="9">
        <v>22625</v>
      </c>
      <c r="C369" s="2">
        <f ca="1">IFERROR(__xludf.DUMMYFUNCTION("IF($A369="""","""", IFERROR(
  INDEX(
    FILTER(CPI_VN!$C$2:$C$82, MONTH(CPI_VN!$A$2:$A$82)=MONTH($A369), YEAR(CPI_VN!$A$2:$A$82)=YEAR($A369)),
    1
  ),
""""))"),1.94)</f>
        <v>1.94</v>
      </c>
      <c r="D369" s="2">
        <f ca="1">IFERROR(__xludf.DUMMYFUNCTION("IF($A369="""","""", IFERROR(
  INDEX(
    FILTER(CPI_US!$D$2:$D$130, MONTH(CPI_US!$A$2:$A$130)=MONTH($A369), YEAR(CPI_US!$A$2:$A$130)=YEAR($A369)),
    1
  ),
""""))"),7)</f>
        <v>7</v>
      </c>
      <c r="E369" s="2">
        <v>2.137</v>
      </c>
      <c r="F369" s="2">
        <v>0.08</v>
      </c>
      <c r="G369" s="2">
        <v>1478</v>
      </c>
      <c r="H369" s="2">
        <v>4397.9399999999996</v>
      </c>
      <c r="I369" s="2">
        <v>1.61</v>
      </c>
      <c r="J369" s="2">
        <v>76.599999999999994</v>
      </c>
      <c r="K369" s="2">
        <f ca="1">IFERROR(__xludf.DUMMYFUNCTION("IF($A369="""","""", IFERROR(
  INDEX(
    FILTER(IMEX_VN!$B$2:$B$130, MONTH(IMEX_VN!$A$2:$A$130)=MONTH($A369), YEAR(IMEX_VN!$A$2:$A$130)=YEAR($A369)),
    1
  ),
""""))"),1.3)</f>
        <v>1.3</v>
      </c>
      <c r="L369" s="6">
        <v>96</v>
      </c>
      <c r="M369" s="7">
        <v>110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8">
        <v>44584</v>
      </c>
      <c r="B370" s="9">
        <v>22645</v>
      </c>
      <c r="C370" s="2">
        <f ca="1">IFERROR(__xludf.DUMMYFUNCTION("IF($A370="""","""", IFERROR(
  INDEX(
    FILTER(CPI_VN!$C$2:$C$82, MONTH(CPI_VN!$A$2:$A$82)=MONTH($A370), YEAR(CPI_VN!$A$2:$A$82)=YEAR($A370)),
    1
  ),
""""))"),1.94)</f>
        <v>1.94</v>
      </c>
      <c r="D370" s="2">
        <f ca="1">IFERROR(__xludf.DUMMYFUNCTION("IF($A370="""","""", IFERROR(
  INDEX(
    FILTER(CPI_US!$D$2:$D$130, MONTH(CPI_US!$A$2:$A$130)=MONTH($A370), YEAR(CPI_US!$A$2:$A$130)=YEAR($A370)),
    1
  ),
""""))"),7)</f>
        <v>7</v>
      </c>
      <c r="E370" s="2">
        <v>2.1629999999999998</v>
      </c>
      <c r="F370" s="2">
        <v>0.08</v>
      </c>
      <c r="G370" s="2">
        <v>1501</v>
      </c>
      <c r="H370" s="2">
        <v>4431.8500000000004</v>
      </c>
      <c r="I370" s="2">
        <v>1.61</v>
      </c>
      <c r="J370" s="2">
        <v>76.599999999999994</v>
      </c>
      <c r="K370" s="2">
        <f ca="1">IFERROR(__xludf.DUMMYFUNCTION("IF($A370="""","""", IFERROR(
  INDEX(
    FILTER(IMEX_VN!$B$2:$B$130, MONTH(IMEX_VN!$A$2:$A$130)=MONTH($A370), YEAR(IMEX_VN!$A$2:$A$130)=YEAR($A370)),
    1
  ),
""""))"),1.3)</f>
        <v>1.3</v>
      </c>
      <c r="L370" s="6">
        <v>97</v>
      </c>
      <c r="M370" s="7">
        <v>110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8">
        <v>44591</v>
      </c>
      <c r="B371" s="9">
        <v>22650</v>
      </c>
      <c r="C371" s="2">
        <f ca="1">IFERROR(__xludf.DUMMYFUNCTION("IF($A371="""","""", IFERROR(
  INDEX(
    FILTER(CPI_VN!$C$2:$C$82, MONTH(CPI_VN!$A$2:$A$82)=MONTH($A371), YEAR(CPI_VN!$A$2:$A$82)=YEAR($A371)),
    1
  ),
""""))"),1.94)</f>
        <v>1.94</v>
      </c>
      <c r="D371" s="2">
        <f ca="1">IFERROR(__xludf.DUMMYFUNCTION("IF($A371="""","""", IFERROR(
  INDEX(
    FILTER(CPI_US!$D$2:$D$130, MONTH(CPI_US!$A$2:$A$130)=MONTH($A371), YEAR(CPI_US!$A$2:$A$130)=YEAR($A371)),
    1
  ),
""""))"),7)</f>
        <v>7</v>
      </c>
      <c r="E371" s="2">
        <v>2.113</v>
      </c>
      <c r="F371" s="2">
        <v>0.08</v>
      </c>
      <c r="G371" s="2">
        <v>1504</v>
      </c>
      <c r="H371" s="2">
        <v>4500.53</v>
      </c>
      <c r="I371" s="2">
        <v>1.61</v>
      </c>
      <c r="J371" s="2">
        <v>76.599999999999994</v>
      </c>
      <c r="K371" s="2">
        <f ca="1">IFERROR(__xludf.DUMMYFUNCTION("IF($A371="""","""", IFERROR(
  INDEX(
    FILTER(IMEX_VN!$B$2:$B$130, MONTH(IMEX_VN!$A$2:$A$130)=MONTH($A371), YEAR(IMEX_VN!$A$2:$A$130)=YEAR($A371)),
    1
  ),
""""))"),1.3)</f>
        <v>1.3</v>
      </c>
      <c r="L371" s="6">
        <v>95</v>
      </c>
      <c r="M371" s="7">
        <v>110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8">
        <v>44598</v>
      </c>
      <c r="B372" s="9">
        <v>22685</v>
      </c>
      <c r="C372" s="2">
        <f ca="1">IFERROR(__xludf.DUMMYFUNCTION("IF($A372="""","""", IFERROR(
  INDEX(
    FILTER(CPI_VN!$C$2:$C$82, MONTH(CPI_VN!$A$2:$A$82)=MONTH($A372), YEAR(CPI_VN!$A$2:$A$82)=YEAR($A372)),
    1
  ),
""""))"),1.42)</f>
        <v>1.42</v>
      </c>
      <c r="D372" s="2">
        <f ca="1">IFERROR(__xludf.DUMMYFUNCTION("IF($A372="""","""", IFERROR(
  INDEX(
    FILTER(CPI_US!$D$2:$D$130, MONTH(CPI_US!$A$2:$A$130)=MONTH($A372), YEAR(CPI_US!$A$2:$A$130)=YEAR($A372)),
    1
  ),
""""))"),7.5)</f>
        <v>7.5</v>
      </c>
      <c r="E372" s="2">
        <v>2.1920000000000002</v>
      </c>
      <c r="F372" s="2">
        <v>0.08</v>
      </c>
      <c r="G372" s="2">
        <v>1498</v>
      </c>
      <c r="H372" s="2">
        <v>4418.6400000000003</v>
      </c>
      <c r="I372" s="2">
        <v>2.68</v>
      </c>
      <c r="J372" s="2">
        <v>76.599999999999994</v>
      </c>
      <c r="K372" s="2">
        <f ca="1">IFERROR(__xludf.DUMMYFUNCTION("IF($A372="""","""", IFERROR(
  INDEX(
    FILTER(IMEX_VN!$B$2:$B$130, MONTH(IMEX_VN!$A$2:$A$130)=MONTH($A372), YEAR(IMEX_VN!$A$2:$A$130)=YEAR($A372)),
    1
  ),
""""))"),-2)</f>
        <v>-2</v>
      </c>
      <c r="L372" s="6">
        <v>96</v>
      </c>
      <c r="M372" s="7">
        <v>109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8">
        <v>44605</v>
      </c>
      <c r="B373" s="9">
        <v>22820</v>
      </c>
      <c r="C373" s="2">
        <f ca="1">IFERROR(__xludf.DUMMYFUNCTION("IF($A373="""","""", IFERROR(
  INDEX(
    FILTER(CPI_VN!$C$2:$C$82, MONTH(CPI_VN!$A$2:$A$82)=MONTH($A373), YEAR(CPI_VN!$A$2:$A$82)=YEAR($A373)),
    1
  ),
""""))"),1.42)</f>
        <v>1.42</v>
      </c>
      <c r="D373" s="2">
        <f ca="1">IFERROR(__xludf.DUMMYFUNCTION("IF($A373="""","""", IFERROR(
  INDEX(
    FILTER(CPI_US!$D$2:$D$130, MONTH(CPI_US!$A$2:$A$130)=MONTH($A373), YEAR(CPI_US!$A$2:$A$130)=YEAR($A373)),
    1
  ),
""""))"),7.5)</f>
        <v>7.5</v>
      </c>
      <c r="E373" s="2">
        <v>2.3069999999999999</v>
      </c>
      <c r="F373" s="2">
        <v>0.08</v>
      </c>
      <c r="G373" s="2">
        <v>1505</v>
      </c>
      <c r="H373" s="2">
        <v>4348.87</v>
      </c>
      <c r="I373" s="2">
        <v>2.68</v>
      </c>
      <c r="J373" s="2">
        <v>76.599999999999994</v>
      </c>
      <c r="K373" s="2">
        <f ca="1">IFERROR(__xludf.DUMMYFUNCTION("IF($A373="""","""", IFERROR(
  INDEX(
    FILTER(IMEX_VN!$B$2:$B$130, MONTH(IMEX_VN!$A$2:$A$130)=MONTH($A373), YEAR(IMEX_VN!$A$2:$A$130)=YEAR($A373)),
    1
  ),
""""))"),-2)</f>
        <v>-2</v>
      </c>
      <c r="L373" s="6">
        <v>96</v>
      </c>
      <c r="M373" s="7">
        <v>109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8">
        <v>44612</v>
      </c>
      <c r="B374" s="9">
        <v>22820</v>
      </c>
      <c r="C374" s="2">
        <f ca="1">IFERROR(__xludf.DUMMYFUNCTION("IF($A374="""","""", IFERROR(
  INDEX(
    FILTER(CPI_VN!$C$2:$C$82, MONTH(CPI_VN!$A$2:$A$82)=MONTH($A374), YEAR(CPI_VN!$A$2:$A$82)=YEAR($A374)),
    1
  ),
""""))"),1.42)</f>
        <v>1.42</v>
      </c>
      <c r="D374" s="2">
        <f ca="1">IFERROR(__xludf.DUMMYFUNCTION("IF($A374="""","""", IFERROR(
  INDEX(
    FILTER(CPI_US!$D$2:$D$130, MONTH(CPI_US!$A$2:$A$130)=MONTH($A374), YEAR(CPI_US!$A$2:$A$130)=YEAR($A374)),
    1
  ),
""""))"),7.5)</f>
        <v>7.5</v>
      </c>
      <c r="E374" s="2">
        <v>2.2839999999999998</v>
      </c>
      <c r="F374" s="2">
        <v>0.08</v>
      </c>
      <c r="G374" s="2">
        <v>1466</v>
      </c>
      <c r="H374" s="2">
        <v>4384.6499999999996</v>
      </c>
      <c r="I374" s="2">
        <v>2.68</v>
      </c>
      <c r="J374" s="2">
        <v>76.599999999999994</v>
      </c>
      <c r="K374" s="2">
        <f ca="1">IFERROR(__xludf.DUMMYFUNCTION("IF($A374="""","""", IFERROR(
  INDEX(
    FILTER(IMEX_VN!$B$2:$B$130, MONTH(IMEX_VN!$A$2:$A$130)=MONTH($A374), YEAR(IMEX_VN!$A$2:$A$130)=YEAR($A374)),
    1
  ),
""""))"),-2)</f>
        <v>-2</v>
      </c>
      <c r="L374" s="6">
        <v>97</v>
      </c>
      <c r="M374" s="7">
        <v>109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8">
        <v>44619</v>
      </c>
      <c r="B375" s="9">
        <v>22830</v>
      </c>
      <c r="C375" s="2">
        <f ca="1">IFERROR(__xludf.DUMMYFUNCTION("IF($A375="""","""", IFERROR(
  INDEX(
    FILTER(CPI_VN!$C$2:$C$82, MONTH(CPI_VN!$A$2:$A$82)=MONTH($A375), YEAR(CPI_VN!$A$2:$A$82)=YEAR($A375)),
    1
  ),
""""))"),1.42)</f>
        <v>1.42</v>
      </c>
      <c r="D375" s="2">
        <f ca="1">IFERROR(__xludf.DUMMYFUNCTION("IF($A375="""","""", IFERROR(
  INDEX(
    FILTER(CPI_US!$D$2:$D$130, MONTH(CPI_US!$A$2:$A$130)=MONTH($A375), YEAR(CPI_US!$A$2:$A$130)=YEAR($A375)),
    1
  ),
""""))"),7.5)</f>
        <v>7.5</v>
      </c>
      <c r="E375" s="2">
        <v>2.3450000000000002</v>
      </c>
      <c r="F375" s="2">
        <v>0.08</v>
      </c>
      <c r="G375" s="2">
        <v>1469</v>
      </c>
      <c r="H375" s="2">
        <v>4328.87</v>
      </c>
      <c r="I375" s="2">
        <v>2.68</v>
      </c>
      <c r="J375" s="2">
        <v>76.599999999999994</v>
      </c>
      <c r="K375" s="2">
        <f ca="1">IFERROR(__xludf.DUMMYFUNCTION("IF($A375="""","""", IFERROR(
  INDEX(
    FILTER(IMEX_VN!$B$2:$B$130, MONTH(IMEX_VN!$A$2:$A$130)=MONTH($A375), YEAR(IMEX_VN!$A$2:$A$130)=YEAR($A375)),
    1
  ),
""""))"),-2)</f>
        <v>-2</v>
      </c>
      <c r="L375" s="6">
        <v>99</v>
      </c>
      <c r="M375" s="7">
        <v>109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8">
        <v>44626</v>
      </c>
      <c r="B376" s="9">
        <v>22873</v>
      </c>
      <c r="C376" s="2">
        <f ca="1">IFERROR(__xludf.DUMMYFUNCTION("IF($A376="""","""", IFERROR(
  INDEX(
    FILTER(CPI_VN!$C$2:$C$82, MONTH(CPI_VN!$A$2:$A$82)=MONTH($A376), YEAR(CPI_VN!$A$2:$A$82)=YEAR($A376)),
    1
  ),
""""))"),2.41)</f>
        <v>2.41</v>
      </c>
      <c r="D376" s="2">
        <f ca="1">IFERROR(__xludf.DUMMYFUNCTION("IF($A376="""","""", IFERROR(
  INDEX(
    FILTER(CPI_US!$D$2:$D$130, MONTH(CPI_US!$A$2:$A$130)=MONTH($A376), YEAR(CPI_US!$A$2:$A$130)=YEAR($A376)),
    1
  ),
""""))"),7.9)</f>
        <v>7.9</v>
      </c>
      <c r="E376" s="2">
        <v>2.3660000000000001</v>
      </c>
      <c r="F376" s="2">
        <v>0.08</v>
      </c>
      <c r="G376" s="2">
        <v>1498</v>
      </c>
      <c r="H376" s="2">
        <v>4204.3100000000004</v>
      </c>
      <c r="I376" s="2">
        <v>4.42</v>
      </c>
      <c r="J376" s="2">
        <v>76.599999999999994</v>
      </c>
      <c r="K376" s="2">
        <f ca="1">IFERROR(__xludf.DUMMYFUNCTION("IF($A376="""","""", IFERROR(
  INDEX(
    FILTER(IMEX_VN!$B$2:$B$130, MONTH(IMEX_VN!$A$2:$A$130)=MONTH($A376), YEAR(IMEX_VN!$A$2:$A$130)=YEAR($A376)),
    1
  ),
""""))"),2)</f>
        <v>2</v>
      </c>
      <c r="L376" s="6">
        <v>99</v>
      </c>
      <c r="M376" s="7">
        <v>106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8">
        <v>44633</v>
      </c>
      <c r="B377" s="9">
        <v>22860</v>
      </c>
      <c r="C377" s="2">
        <f ca="1">IFERROR(__xludf.DUMMYFUNCTION("IF($A377="""","""", IFERROR(
  INDEX(
    FILTER(CPI_VN!$C$2:$C$82, MONTH(CPI_VN!$A$2:$A$82)=MONTH($A377), YEAR(CPI_VN!$A$2:$A$82)=YEAR($A377)),
    1
  ),
""""))"),2.41)</f>
        <v>2.41</v>
      </c>
      <c r="D377" s="2">
        <f ca="1">IFERROR(__xludf.DUMMYFUNCTION("IF($A377="""","""", IFERROR(
  INDEX(
    FILTER(CPI_US!$D$2:$D$130, MONTH(CPI_US!$A$2:$A$130)=MONTH($A377), YEAR(CPI_US!$A$2:$A$130)=YEAR($A377)),
    1
  ),
""""))"),7.9)</f>
        <v>7.9</v>
      </c>
      <c r="E377" s="2">
        <v>2.4319999999999999</v>
      </c>
      <c r="F377" s="2">
        <v>0.08</v>
      </c>
      <c r="G377" s="2">
        <v>1516</v>
      </c>
      <c r="H377" s="2">
        <v>4463.12</v>
      </c>
      <c r="I377" s="2">
        <v>4.42</v>
      </c>
      <c r="J377" s="2">
        <v>76.599999999999994</v>
      </c>
      <c r="K377" s="2">
        <f ca="1">IFERROR(__xludf.DUMMYFUNCTION("IF($A377="""","""", IFERROR(
  INDEX(
    FILTER(IMEX_VN!$B$2:$B$130, MONTH(IMEX_VN!$A$2:$A$130)=MONTH($A377), YEAR(IMEX_VN!$A$2:$A$130)=YEAR($A377)),
    1
  ),
""""))"),2)</f>
        <v>2</v>
      </c>
      <c r="L377" s="6">
        <v>98</v>
      </c>
      <c r="M377" s="7">
        <v>106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8">
        <v>44640</v>
      </c>
      <c r="B378" s="9">
        <v>22861</v>
      </c>
      <c r="C378" s="2">
        <f ca="1">IFERROR(__xludf.DUMMYFUNCTION("IF($A378="""","""", IFERROR(
  INDEX(
    FILTER(CPI_VN!$C$2:$C$82, MONTH(CPI_VN!$A$2:$A$82)=MONTH($A378), YEAR(CPI_VN!$A$2:$A$82)=YEAR($A378)),
    1
  ),
""""))"),2.41)</f>
        <v>2.41</v>
      </c>
      <c r="D378" s="2">
        <f ca="1">IFERROR(__xludf.DUMMYFUNCTION("IF($A378="""","""", IFERROR(
  INDEX(
    FILTER(CPI_US!$D$2:$D$130, MONTH(CPI_US!$A$2:$A$130)=MONTH($A378), YEAR(CPI_US!$A$2:$A$130)=YEAR($A378)),
    1
  ),
""""))"),7.9)</f>
        <v>7.9</v>
      </c>
      <c r="E378" s="2">
        <v>2.4929999999999999</v>
      </c>
      <c r="F378" s="2">
        <v>0.33</v>
      </c>
      <c r="G378" s="2">
        <v>1482</v>
      </c>
      <c r="H378" s="2">
        <v>4543.0600000000004</v>
      </c>
      <c r="I378" s="2">
        <v>4.42</v>
      </c>
      <c r="J378" s="2">
        <v>76.599999999999994</v>
      </c>
      <c r="K378" s="2">
        <f ca="1">IFERROR(__xludf.DUMMYFUNCTION("IF($A378="""","""", IFERROR(
  INDEX(
    FILTER(IMEX_VN!$B$2:$B$130, MONTH(IMEX_VN!$A$2:$A$130)=MONTH($A378), YEAR(IMEX_VN!$A$2:$A$130)=YEAR($A378)),
    1
  ),
""""))"),2)</f>
        <v>2</v>
      </c>
      <c r="L378" s="6">
        <v>99</v>
      </c>
      <c r="M378" s="7">
        <v>106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8">
        <v>44647</v>
      </c>
      <c r="B379" s="9">
        <v>22837</v>
      </c>
      <c r="C379" s="2">
        <f ca="1">IFERROR(__xludf.DUMMYFUNCTION("IF($A379="""","""", IFERROR(
  INDEX(
    FILTER(CPI_VN!$C$2:$C$82, MONTH(CPI_VN!$A$2:$A$82)=MONTH($A379), YEAR(CPI_VN!$A$2:$A$82)=YEAR($A379)),
    1
  ),
""""))"),2.41)</f>
        <v>2.41</v>
      </c>
      <c r="D379" s="2">
        <f ca="1">IFERROR(__xludf.DUMMYFUNCTION("IF($A379="""","""", IFERROR(
  INDEX(
    FILTER(CPI_US!$D$2:$D$130, MONTH(CPI_US!$A$2:$A$130)=MONTH($A379), YEAR(CPI_US!$A$2:$A$130)=YEAR($A379)),
    1
  ),
""""))"),7.9)</f>
        <v>7.9</v>
      </c>
      <c r="E379" s="2">
        <v>2.5009999999999999</v>
      </c>
      <c r="F379" s="2">
        <v>0.33</v>
      </c>
      <c r="G379" s="2">
        <v>1458</v>
      </c>
      <c r="H379" s="2">
        <v>4545.8599999999997</v>
      </c>
      <c r="I379" s="2">
        <v>4.42</v>
      </c>
      <c r="J379" s="2">
        <v>76.599999999999994</v>
      </c>
      <c r="K379" s="2">
        <f ca="1">IFERROR(__xludf.DUMMYFUNCTION("IF($A379="""","""", IFERROR(
  INDEX(
    FILTER(IMEX_VN!$B$2:$B$130, MONTH(IMEX_VN!$A$2:$A$130)=MONTH($A379), YEAR(IMEX_VN!$A$2:$A$130)=YEAR($A379)),
    1
  ),
""""))"),2)</f>
        <v>2</v>
      </c>
      <c r="L379" s="6">
        <v>99</v>
      </c>
      <c r="M379" s="7">
        <v>106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8">
        <v>44654</v>
      </c>
      <c r="B380" s="9">
        <v>22860</v>
      </c>
      <c r="C380" s="2">
        <f ca="1">IFERROR(__xludf.DUMMYFUNCTION("IF($A380="""","""", IFERROR(
  INDEX(
    FILTER(CPI_VN!$C$2:$C$82, MONTH(CPI_VN!$A$2:$A$82)=MONTH($A380), YEAR(CPI_VN!$A$2:$A$82)=YEAR($A380)),
    1
  ),
""""))"),2.64)</f>
        <v>2.64</v>
      </c>
      <c r="D380" s="2">
        <f ca="1">IFERROR(__xludf.DUMMYFUNCTION("IF($A380="""","""", IFERROR(
  INDEX(
    FILTER(CPI_US!$D$2:$D$130, MONTH(CPI_US!$A$2:$A$130)=MONTH($A380), YEAR(CPI_US!$A$2:$A$130)=YEAR($A380)),
    1
  ),
""""))"),8.5)</f>
        <v>8.5</v>
      </c>
      <c r="E380" s="2">
        <v>2.8730000000000002</v>
      </c>
      <c r="F380" s="2">
        <v>0.33</v>
      </c>
      <c r="G380" s="2">
        <v>1379</v>
      </c>
      <c r="H380" s="2">
        <v>4488.28</v>
      </c>
      <c r="I380" s="2">
        <v>5.92</v>
      </c>
      <c r="J380" s="2">
        <v>77.8</v>
      </c>
      <c r="K380" s="2">
        <f ca="1">IFERROR(__xludf.DUMMYFUNCTION("IF($A380="""","""", IFERROR(
  INDEX(
    FILTER(IMEX_VN!$B$2:$B$130, MONTH(IMEX_VN!$A$2:$A$130)=MONTH($A380), YEAR(IMEX_VN!$A$2:$A$130)=YEAR($A380)),
    1
  ),
""""))"),0.799999999999997)</f>
        <v>0.79999999999999705</v>
      </c>
      <c r="L380" s="6">
        <v>100</v>
      </c>
      <c r="M380" s="7">
        <v>105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8">
        <v>44661</v>
      </c>
      <c r="B381" s="9">
        <v>22899</v>
      </c>
      <c r="C381" s="2">
        <f ca="1">IFERROR(__xludf.DUMMYFUNCTION("IF($A381="""","""", IFERROR(
  INDEX(
    FILTER(CPI_VN!$C$2:$C$82, MONTH(CPI_VN!$A$2:$A$82)=MONTH($A381), YEAR(CPI_VN!$A$2:$A$82)=YEAR($A381)),
    1
  ),
""""))"),2.64)</f>
        <v>2.64</v>
      </c>
      <c r="D381" s="2">
        <f ca="1">IFERROR(__xludf.DUMMYFUNCTION("IF($A381="""","""", IFERROR(
  INDEX(
    FILTER(CPI_US!$D$2:$D$130, MONTH(CPI_US!$A$2:$A$130)=MONTH($A381), YEAR(CPI_US!$A$2:$A$130)=YEAR($A381)),
    1
  ),
""""))"),8.5)</f>
        <v>8.5</v>
      </c>
      <c r="E381" s="2">
        <v>3.165</v>
      </c>
      <c r="F381" s="2">
        <v>0.33</v>
      </c>
      <c r="G381" s="2">
        <v>1366</v>
      </c>
      <c r="H381" s="2">
        <v>4392.59</v>
      </c>
      <c r="I381" s="2">
        <v>5.92</v>
      </c>
      <c r="J381" s="2">
        <v>77.8</v>
      </c>
      <c r="K381" s="2">
        <f ca="1">IFERROR(__xludf.DUMMYFUNCTION("IF($A381="""","""", IFERROR(
  INDEX(
    FILTER(IMEX_VN!$B$2:$B$130, MONTH(IMEX_VN!$A$2:$A$130)=MONTH($A381), YEAR(IMEX_VN!$A$2:$A$130)=YEAR($A381)),
    1
  ),
""""))"),0.799999999999997)</f>
        <v>0.79999999999999705</v>
      </c>
      <c r="L381" s="6">
        <v>100</v>
      </c>
      <c r="M381" s="7">
        <v>105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8">
        <v>44668</v>
      </c>
      <c r="B382" s="9">
        <v>22965</v>
      </c>
      <c r="C382" s="2">
        <f ca="1">IFERROR(__xludf.DUMMYFUNCTION("IF($A382="""","""", IFERROR(
  INDEX(
    FILTER(CPI_VN!$C$2:$C$82, MONTH(CPI_VN!$A$2:$A$82)=MONTH($A382), YEAR(CPI_VN!$A$2:$A$82)=YEAR($A382)),
    1
  ),
""""))"),2.64)</f>
        <v>2.64</v>
      </c>
      <c r="D382" s="2">
        <f ca="1">IFERROR(__xludf.DUMMYFUNCTION("IF($A382="""","""", IFERROR(
  INDEX(
    FILTER(CPI_US!$D$2:$D$130, MONTH(CPI_US!$A$2:$A$130)=MONTH($A382), YEAR(CPI_US!$A$2:$A$130)=YEAR($A382)),
    1
  ),
""""))"),8.5)</f>
        <v>8.5</v>
      </c>
      <c r="E382" s="2">
        <v>3.1829999999999998</v>
      </c>
      <c r="F382" s="2">
        <v>0.33</v>
      </c>
      <c r="G382" s="2">
        <v>1329</v>
      </c>
      <c r="H382" s="2">
        <v>4271.78</v>
      </c>
      <c r="I382" s="2">
        <v>5.92</v>
      </c>
      <c r="J382" s="2">
        <v>77.8</v>
      </c>
      <c r="K382" s="2">
        <f ca="1">IFERROR(__xludf.DUMMYFUNCTION("IF($A382="""","""", IFERROR(
  INDEX(
    FILTER(IMEX_VN!$B$2:$B$130, MONTH(IMEX_VN!$A$2:$A$130)=MONTH($A382), YEAR(IMEX_VN!$A$2:$A$130)=YEAR($A382)),
    1
  ),
""""))"),0.799999999999997)</f>
        <v>0.79999999999999705</v>
      </c>
      <c r="L382" s="6">
        <v>101</v>
      </c>
      <c r="M382" s="7">
        <v>105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8">
        <v>44675</v>
      </c>
      <c r="B383" s="9">
        <v>22962</v>
      </c>
      <c r="C383" s="2">
        <f ca="1">IFERROR(__xludf.DUMMYFUNCTION("IF($A383="""","""", IFERROR(
  INDEX(
    FILTER(CPI_VN!$C$2:$C$82, MONTH(CPI_VN!$A$2:$A$82)=MONTH($A383), YEAR(CPI_VN!$A$2:$A$82)=YEAR($A383)),
    1
  ),
""""))"),2.64)</f>
        <v>2.64</v>
      </c>
      <c r="D383" s="2">
        <f ca="1">IFERROR(__xludf.DUMMYFUNCTION("IF($A383="""","""", IFERROR(
  INDEX(
    FILTER(CPI_US!$D$2:$D$130, MONTH(CPI_US!$A$2:$A$130)=MONTH($A383), YEAR(CPI_US!$A$2:$A$130)=YEAR($A383)),
    1
  ),
""""))"),8.5)</f>
        <v>8.5</v>
      </c>
      <c r="E383" s="2">
        <v>3.1030000000000002</v>
      </c>
      <c r="F383" s="2">
        <v>0.33</v>
      </c>
      <c r="G383" s="2">
        <v>1182</v>
      </c>
      <c r="H383" s="2">
        <v>4131.93</v>
      </c>
      <c r="I383" s="2">
        <v>5.92</v>
      </c>
      <c r="J383" s="2">
        <v>77.8</v>
      </c>
      <c r="K383" s="2">
        <f ca="1">IFERROR(__xludf.DUMMYFUNCTION("IF($A383="""","""", IFERROR(
  INDEX(
    FILTER(IMEX_VN!$B$2:$B$130, MONTH(IMEX_VN!$A$2:$A$130)=MONTH($A383), YEAR(IMEX_VN!$A$2:$A$130)=YEAR($A383)),
    1
  ),
""""))"),0.799999999999997)</f>
        <v>0.79999999999999705</v>
      </c>
      <c r="L383" s="6">
        <v>103</v>
      </c>
      <c r="M383" s="7">
        <v>105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8">
        <v>44682</v>
      </c>
      <c r="B384" s="9">
        <v>22955</v>
      </c>
      <c r="C384" s="2">
        <f ca="1">IFERROR(__xludf.DUMMYFUNCTION("IF($A384="""","""", IFERROR(
  INDEX(
    FILTER(CPI_VN!$C$2:$C$82, MONTH(CPI_VN!$A$2:$A$82)=MONTH($A384), YEAR(CPI_VN!$A$2:$A$82)=YEAR($A384)),
    1
  ),
""""))"),2.86)</f>
        <v>2.86</v>
      </c>
      <c r="D384" s="2">
        <f ca="1">IFERROR(__xludf.DUMMYFUNCTION("IF($A384="""","""", IFERROR(
  INDEX(
    FILTER(CPI_US!$D$2:$D$130, MONTH(CPI_US!$A$2:$A$130)=MONTH($A384), YEAR(CPI_US!$A$2:$A$130)=YEAR($A384)),
    1
  ),
""""))"),8.3)</f>
        <v>8.3000000000000007</v>
      </c>
      <c r="E384" s="2">
        <v>3.1909999999999998</v>
      </c>
      <c r="F384" s="2">
        <v>0.33</v>
      </c>
      <c r="G384" s="2">
        <v>1240</v>
      </c>
      <c r="H384" s="2">
        <v>4123.34</v>
      </c>
      <c r="I384" s="2">
        <v>7.71</v>
      </c>
      <c r="J384" s="2">
        <v>77.8</v>
      </c>
      <c r="K384" s="2">
        <f ca="1">IFERROR(__xludf.DUMMYFUNCTION("IF($A384="""","""", IFERROR(
  INDEX(
    FILTER(IMEX_VN!$B$2:$B$130, MONTH(IMEX_VN!$A$2:$A$130)=MONTH($A384), YEAR(IMEX_VN!$A$2:$A$130)=YEAR($A384)),
    1
  ),
""""))"),-2.5)</f>
        <v>-2.5</v>
      </c>
      <c r="L384" s="6">
        <v>104</v>
      </c>
      <c r="M384" s="7">
        <v>103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8">
        <v>44689</v>
      </c>
      <c r="B385" s="9">
        <v>23086</v>
      </c>
      <c r="C385" s="2">
        <f ca="1">IFERROR(__xludf.DUMMYFUNCTION("IF($A385="""","""", IFERROR(
  INDEX(
    FILTER(CPI_VN!$C$2:$C$82, MONTH(CPI_VN!$A$2:$A$82)=MONTH($A385), YEAR(CPI_VN!$A$2:$A$82)=YEAR($A385)),
    1
  ),
""""))"),2.86)</f>
        <v>2.86</v>
      </c>
      <c r="D385" s="2">
        <f ca="1">IFERROR(__xludf.DUMMYFUNCTION("IF($A385="""","""", IFERROR(
  INDEX(
    FILTER(CPI_US!$D$2:$D$130, MONTH(CPI_US!$A$2:$A$130)=MONTH($A385), YEAR(CPI_US!$A$2:$A$130)=YEAR($A385)),
    1
  ),
""""))"),8.3)</f>
        <v>8.3000000000000007</v>
      </c>
      <c r="E385" s="2">
        <v>3.415</v>
      </c>
      <c r="F385" s="2">
        <v>0.83</v>
      </c>
      <c r="G385" s="2">
        <v>1285</v>
      </c>
      <c r="H385" s="2">
        <v>4023.89</v>
      </c>
      <c r="I385" s="2">
        <v>7.71</v>
      </c>
      <c r="J385" s="2">
        <v>77.8</v>
      </c>
      <c r="K385" s="2">
        <f ca="1">IFERROR(__xludf.DUMMYFUNCTION("IF($A385="""","""", IFERROR(
  INDEX(
    FILTER(IMEX_VN!$B$2:$B$130, MONTH(IMEX_VN!$A$2:$A$130)=MONTH($A385), YEAR(IMEX_VN!$A$2:$A$130)=YEAR($A385)),
    1
  ),
""""))"),-2.5)</f>
        <v>-2.5</v>
      </c>
      <c r="L385" s="6">
        <v>105</v>
      </c>
      <c r="M385" s="7">
        <v>103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8">
        <v>44696</v>
      </c>
      <c r="B386" s="9">
        <v>23160</v>
      </c>
      <c r="C386" s="2">
        <f ca="1">IFERROR(__xludf.DUMMYFUNCTION("IF($A386="""","""", IFERROR(
  INDEX(
    FILTER(CPI_VN!$C$2:$C$82, MONTH(CPI_VN!$A$2:$A$82)=MONTH($A386), YEAR(CPI_VN!$A$2:$A$82)=YEAR($A386)),
    1
  ),
""""))"),2.86)</f>
        <v>2.86</v>
      </c>
      <c r="D386" s="2">
        <f ca="1">IFERROR(__xludf.DUMMYFUNCTION("IF($A386="""","""", IFERROR(
  INDEX(
    FILTER(CPI_US!$D$2:$D$130, MONTH(CPI_US!$A$2:$A$130)=MONTH($A386), YEAR(CPI_US!$A$2:$A$130)=YEAR($A386)),
    1
  ),
""""))"),8.3)</f>
        <v>8.3000000000000007</v>
      </c>
      <c r="E386" s="2">
        <v>3.2490000000000001</v>
      </c>
      <c r="F386" s="2">
        <v>0.83</v>
      </c>
      <c r="G386" s="2">
        <v>1287</v>
      </c>
      <c r="H386" s="2">
        <v>3901.36</v>
      </c>
      <c r="I386" s="2">
        <v>7.71</v>
      </c>
      <c r="J386" s="2">
        <v>77.8</v>
      </c>
      <c r="K386" s="2">
        <f ca="1">IFERROR(__xludf.DUMMYFUNCTION("IF($A386="""","""", IFERROR(
  INDEX(
    FILTER(IMEX_VN!$B$2:$B$130, MONTH(IMEX_VN!$A$2:$A$130)=MONTH($A386), YEAR(IMEX_VN!$A$2:$A$130)=YEAR($A386)),
    1
  ),
""""))"),-2.5)</f>
        <v>-2.5</v>
      </c>
      <c r="L386" s="6">
        <v>103</v>
      </c>
      <c r="M386" s="7">
        <v>103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8">
        <v>44703</v>
      </c>
      <c r="B387" s="9">
        <v>23195</v>
      </c>
      <c r="C387" s="2">
        <f ca="1">IFERROR(__xludf.DUMMYFUNCTION("IF($A387="""","""", IFERROR(
  INDEX(
    FILTER(CPI_VN!$C$2:$C$82, MONTH(CPI_VN!$A$2:$A$82)=MONTH($A387), YEAR(CPI_VN!$A$2:$A$82)=YEAR($A387)),
    1
  ),
""""))"),2.86)</f>
        <v>2.86</v>
      </c>
      <c r="D387" s="2">
        <f ca="1">IFERROR(__xludf.DUMMYFUNCTION("IF($A387="""","""", IFERROR(
  INDEX(
    FILTER(CPI_US!$D$2:$D$130, MONTH(CPI_US!$A$2:$A$130)=MONTH($A387), YEAR(CPI_US!$A$2:$A$130)=YEAR($A387)),
    1
  ),
""""))"),8.3)</f>
        <v>8.3000000000000007</v>
      </c>
      <c r="E387" s="2">
        <v>3.2469999999999999</v>
      </c>
      <c r="F387" s="2">
        <v>0.83</v>
      </c>
      <c r="G387" s="2">
        <v>1284</v>
      </c>
      <c r="H387" s="2">
        <v>4158.24</v>
      </c>
      <c r="I387" s="2">
        <v>7.71</v>
      </c>
      <c r="J387" s="2">
        <v>77.8</v>
      </c>
      <c r="K387" s="2">
        <f ca="1">IFERROR(__xludf.DUMMYFUNCTION("IF($A387="""","""", IFERROR(
  INDEX(
    FILTER(IMEX_VN!$B$2:$B$130, MONTH(IMEX_VN!$A$2:$A$130)=MONTH($A387), YEAR(IMEX_VN!$A$2:$A$130)=YEAR($A387)),
    1
  ),
""""))"),-2.5)</f>
        <v>-2.5</v>
      </c>
      <c r="L387" s="6">
        <v>102</v>
      </c>
      <c r="M387" s="7">
        <v>103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8">
        <v>44710</v>
      </c>
      <c r="B388" s="9">
        <v>23187</v>
      </c>
      <c r="C388" s="2">
        <f ca="1">IFERROR(__xludf.DUMMYFUNCTION("IF($A388="""","""", IFERROR(
  INDEX(
    FILTER(CPI_VN!$C$2:$C$82, MONTH(CPI_VN!$A$2:$A$82)=MONTH($A388), YEAR(CPI_VN!$A$2:$A$82)=YEAR($A388)),
    1
  ),
""""))"),2.86)</f>
        <v>2.86</v>
      </c>
      <c r="D388" s="2">
        <f ca="1">IFERROR(__xludf.DUMMYFUNCTION("IF($A388="""","""", IFERROR(
  INDEX(
    FILTER(CPI_US!$D$2:$D$130, MONTH(CPI_US!$A$2:$A$130)=MONTH($A388), YEAR(CPI_US!$A$2:$A$130)=YEAR($A388)),
    1
  ),
""""))"),8.3)</f>
        <v>8.3000000000000007</v>
      </c>
      <c r="E388" s="2">
        <v>3.2669999999999999</v>
      </c>
      <c r="F388" s="2">
        <v>0.83</v>
      </c>
      <c r="G388" s="2">
        <v>1217</v>
      </c>
      <c r="H388" s="2">
        <v>4108.54</v>
      </c>
      <c r="I388" s="2">
        <v>7.71</v>
      </c>
      <c r="J388" s="2">
        <v>77.8</v>
      </c>
      <c r="K388" s="2">
        <f ca="1">IFERROR(__xludf.DUMMYFUNCTION("IF($A388="""","""", IFERROR(
  INDEX(
    FILTER(IMEX_VN!$B$2:$B$130, MONTH(IMEX_VN!$A$2:$A$130)=MONTH($A388), YEAR(IMEX_VN!$A$2:$A$130)=YEAR($A388)),
    1
  ),
""""))"),-2.5)</f>
        <v>-2.5</v>
      </c>
      <c r="L388" s="6">
        <v>102</v>
      </c>
      <c r="M388" s="7">
        <v>103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8">
        <v>44717</v>
      </c>
      <c r="B389" s="9">
        <v>23177</v>
      </c>
      <c r="C389" s="2">
        <f ca="1">IFERROR(__xludf.DUMMYFUNCTION("IF($A389="""","""", IFERROR(
  INDEX(
    FILTER(CPI_VN!$C$2:$C$82, MONTH(CPI_VN!$A$2:$A$82)=MONTH($A389), YEAR(CPI_VN!$A$2:$A$82)=YEAR($A389)),
    1
  ),
""""))"),3.37)</f>
        <v>3.37</v>
      </c>
      <c r="D389" s="2">
        <f ca="1">IFERROR(__xludf.DUMMYFUNCTION("IF($A389="""","""", IFERROR(
  INDEX(
    FILTER(CPI_US!$D$2:$D$130, MONTH(CPI_US!$A$2:$A$130)=MONTH($A389), YEAR(CPI_US!$A$2:$A$130)=YEAR($A389)),
    1
  ),
""""))"),8.6)</f>
        <v>8.6</v>
      </c>
      <c r="E389" s="2">
        <v>3.2730000000000001</v>
      </c>
      <c r="F389" s="2">
        <v>0.83</v>
      </c>
      <c r="G389" s="2">
        <v>1185</v>
      </c>
      <c r="H389" s="2">
        <v>3900.86</v>
      </c>
      <c r="I389" s="2">
        <v>9.9700000000000006</v>
      </c>
      <c r="J389" s="2">
        <v>77.8</v>
      </c>
      <c r="K389" s="2">
        <f ca="1">IFERROR(__xludf.DUMMYFUNCTION("IF($A389="""","""", IFERROR(
  INDEX(
    FILTER(IMEX_VN!$B$2:$B$130, MONTH(IMEX_VN!$A$2:$A$130)=MONTH($A389), YEAR(IMEX_VN!$A$2:$A$130)=YEAR($A389)),
    1
  ),
""""))"),0.399999999999998)</f>
        <v>0.39999999999999802</v>
      </c>
      <c r="L389" s="6">
        <v>104</v>
      </c>
      <c r="M389" s="7">
        <v>101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8">
        <v>44724</v>
      </c>
      <c r="B390" s="9">
        <v>23220</v>
      </c>
      <c r="C390" s="2">
        <f ca="1">IFERROR(__xludf.DUMMYFUNCTION("IF($A390="""","""", IFERROR(
  INDEX(
    FILTER(CPI_VN!$C$2:$C$82, MONTH(CPI_VN!$A$2:$A$82)=MONTH($A390), YEAR(CPI_VN!$A$2:$A$82)=YEAR($A390)),
    1
  ),
""""))"),3.37)</f>
        <v>3.37</v>
      </c>
      <c r="D390" s="2">
        <f ca="1">IFERROR(__xludf.DUMMYFUNCTION("IF($A390="""","""", IFERROR(
  INDEX(
    FILTER(CPI_US!$D$2:$D$130, MONTH(CPI_US!$A$2:$A$130)=MONTH($A390), YEAR(CPI_US!$A$2:$A$130)=YEAR($A390)),
    1
  ),
""""))"),8.6)</f>
        <v>8.6</v>
      </c>
      <c r="E390" s="2">
        <v>3.4319999999999999</v>
      </c>
      <c r="F390" s="2">
        <v>0.83</v>
      </c>
      <c r="G390" s="2">
        <v>1198</v>
      </c>
      <c r="H390" s="2">
        <v>3674.84</v>
      </c>
      <c r="I390" s="2">
        <v>9.9700000000000006</v>
      </c>
      <c r="J390" s="2">
        <v>77.8</v>
      </c>
      <c r="K390" s="2">
        <f ca="1">IFERROR(__xludf.DUMMYFUNCTION("IF($A390="""","""", IFERROR(
  INDEX(
    FILTER(IMEX_VN!$B$2:$B$130, MONTH(IMEX_VN!$A$2:$A$130)=MONTH($A390), YEAR(IMEX_VN!$A$2:$A$130)=YEAR($A390)),
    1
  ),
""""))"),0.399999999999998)</f>
        <v>0.39999999999999802</v>
      </c>
      <c r="L390" s="6">
        <v>105</v>
      </c>
      <c r="M390" s="7">
        <v>101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8">
        <v>44731</v>
      </c>
      <c r="B391" s="9">
        <v>23247</v>
      </c>
      <c r="C391" s="2">
        <f ca="1">IFERROR(__xludf.DUMMYFUNCTION("IF($A391="""","""", IFERROR(
  INDEX(
    FILTER(CPI_VN!$C$2:$C$82, MONTH(CPI_VN!$A$2:$A$82)=MONTH($A391), YEAR(CPI_VN!$A$2:$A$82)=YEAR($A391)),
    1
  ),
""""))"),3.37)</f>
        <v>3.37</v>
      </c>
      <c r="D391" s="2">
        <f ca="1">IFERROR(__xludf.DUMMYFUNCTION("IF($A391="""","""", IFERROR(
  INDEX(
    FILTER(CPI_US!$D$2:$D$130, MONTH(CPI_US!$A$2:$A$130)=MONTH($A391), YEAR(CPI_US!$A$2:$A$130)=YEAR($A391)),
    1
  ),
""""))"),8.6)</f>
        <v>8.6</v>
      </c>
      <c r="E391" s="2">
        <v>3.4279999999999999</v>
      </c>
      <c r="F391" s="2">
        <v>1.58</v>
      </c>
      <c r="G391" s="2">
        <v>1171</v>
      </c>
      <c r="H391" s="2">
        <v>3911.74</v>
      </c>
      <c r="I391" s="2">
        <v>9.9700000000000006</v>
      </c>
      <c r="J391" s="2">
        <v>77.8</v>
      </c>
      <c r="K391" s="2">
        <f ca="1">IFERROR(__xludf.DUMMYFUNCTION("IF($A391="""","""", IFERROR(
  INDEX(
    FILTER(IMEX_VN!$B$2:$B$130, MONTH(IMEX_VN!$A$2:$A$130)=MONTH($A391), YEAR(IMEX_VN!$A$2:$A$130)=YEAR($A391)),
    1
  ),
""""))"),0.399999999999998)</f>
        <v>0.39999999999999802</v>
      </c>
      <c r="L391" s="6">
        <v>104</v>
      </c>
      <c r="M391" s="7">
        <v>101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8">
        <v>44738</v>
      </c>
      <c r="B392" s="9">
        <v>23300</v>
      </c>
      <c r="C392" s="2">
        <f ca="1">IFERROR(__xludf.DUMMYFUNCTION("IF($A392="""","""", IFERROR(
  INDEX(
    FILTER(CPI_VN!$C$2:$C$82, MONTH(CPI_VN!$A$2:$A$82)=MONTH($A392), YEAR(CPI_VN!$A$2:$A$82)=YEAR($A392)),
    1
  ),
""""))"),3.37)</f>
        <v>3.37</v>
      </c>
      <c r="D392" s="2">
        <f ca="1">IFERROR(__xludf.DUMMYFUNCTION("IF($A392="""","""", IFERROR(
  INDEX(
    FILTER(CPI_US!$D$2:$D$130, MONTH(CPI_US!$A$2:$A$130)=MONTH($A392), YEAR(CPI_US!$A$2:$A$130)=YEAR($A392)),
    1
  ),
""""))"),8.6)</f>
        <v>8.6</v>
      </c>
      <c r="E392" s="2">
        <v>3.3650000000000002</v>
      </c>
      <c r="F392" s="2">
        <v>1.58</v>
      </c>
      <c r="G392" s="2">
        <v>1179</v>
      </c>
      <c r="H392" s="2">
        <v>3825.33</v>
      </c>
      <c r="I392" s="2">
        <v>9.9700000000000006</v>
      </c>
      <c r="J392" s="2">
        <v>77.8</v>
      </c>
      <c r="K392" s="2">
        <f ca="1">IFERROR(__xludf.DUMMYFUNCTION("IF($A392="""","""", IFERROR(
  INDEX(
    FILTER(IMEX_VN!$B$2:$B$130, MONTH(IMEX_VN!$A$2:$A$130)=MONTH($A392), YEAR(IMEX_VN!$A$2:$A$130)=YEAR($A392)),
    1
  ),
""""))"),0.399999999999998)</f>
        <v>0.39999999999999802</v>
      </c>
      <c r="L392" s="6">
        <v>105</v>
      </c>
      <c r="M392" s="7">
        <v>101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8">
        <v>44745</v>
      </c>
      <c r="B393" s="9">
        <v>23355</v>
      </c>
      <c r="C393" s="2">
        <f ca="1">IFERROR(__xludf.DUMMYFUNCTION("IF($A393="""","""", IFERROR(
  INDEX(
    FILTER(CPI_VN!$C$2:$C$82, MONTH(CPI_VN!$A$2:$A$82)=MONTH($A393), YEAR(CPI_VN!$A$2:$A$82)=YEAR($A393)),
    1
  ),
""""))"),3.14)</f>
        <v>3.14</v>
      </c>
      <c r="D393" s="2">
        <f ca="1">IFERROR(__xludf.DUMMYFUNCTION("IF($A393="""","""", IFERROR(
  INDEX(
    FILTER(CPI_US!$D$2:$D$130, MONTH(CPI_US!$A$2:$A$130)=MONTH($A393), YEAR(CPI_US!$A$2:$A$130)=YEAR($A393)),
    1
  ),
""""))"),9.1)</f>
        <v>9.1</v>
      </c>
      <c r="E393" s="2">
        <v>3.3780000000000001</v>
      </c>
      <c r="F393" s="2">
        <v>1.58</v>
      </c>
      <c r="G393" s="2">
        <v>1194</v>
      </c>
      <c r="H393" s="2">
        <v>3899.38</v>
      </c>
      <c r="I393" s="2">
        <v>11.57</v>
      </c>
      <c r="J393" s="2">
        <v>73.7</v>
      </c>
      <c r="K393" s="2">
        <f ca="1">IFERROR(__xludf.DUMMYFUNCTION("IF($A393="""","""", IFERROR(
  INDEX(
    FILTER(IMEX_VN!$B$2:$B$130, MONTH(IMEX_VN!$A$2:$A$130)=MONTH($A393), YEAR(IMEX_VN!$A$2:$A$130)=YEAR($A393)),
    1
  ),
""""))"),0.100000000000001)</f>
        <v>0.100000000000001</v>
      </c>
      <c r="L393" s="6">
        <v>107</v>
      </c>
      <c r="M393" s="7">
        <v>98.6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8">
        <v>44752</v>
      </c>
      <c r="B394" s="9">
        <v>23450</v>
      </c>
      <c r="C394" s="2">
        <f ca="1">IFERROR(__xludf.DUMMYFUNCTION("IF($A394="""","""", IFERROR(
  INDEX(
    FILTER(CPI_VN!$C$2:$C$82, MONTH(CPI_VN!$A$2:$A$82)=MONTH($A394), YEAR(CPI_VN!$A$2:$A$82)=YEAR($A394)),
    1
  ),
""""))"),3.14)</f>
        <v>3.14</v>
      </c>
      <c r="D394" s="2">
        <f ca="1">IFERROR(__xludf.DUMMYFUNCTION("IF($A394="""","""", IFERROR(
  INDEX(
    FILTER(CPI_US!$D$2:$D$130, MONTH(CPI_US!$A$2:$A$130)=MONTH($A394), YEAR(CPI_US!$A$2:$A$130)=YEAR($A394)),
    1
  ),
""""))"),9.1)</f>
        <v>9.1</v>
      </c>
      <c r="E394" s="2">
        <v>3.4</v>
      </c>
      <c r="F394" s="2">
        <v>1.58</v>
      </c>
      <c r="G394" s="2">
        <v>1206</v>
      </c>
      <c r="H394" s="2">
        <v>3863.16</v>
      </c>
      <c r="I394" s="2">
        <v>11.57</v>
      </c>
      <c r="J394" s="2">
        <v>73.7</v>
      </c>
      <c r="K394" s="2">
        <f ca="1">IFERROR(__xludf.DUMMYFUNCTION("IF($A394="""","""", IFERROR(
  INDEX(
    FILTER(IMEX_VN!$B$2:$B$130, MONTH(IMEX_VN!$A$2:$A$130)=MONTH($A394), YEAR(IMEX_VN!$A$2:$A$130)=YEAR($A394)),
    1
  ),
""""))"),0.100000000000001)</f>
        <v>0.100000000000001</v>
      </c>
      <c r="L394" s="6">
        <v>108</v>
      </c>
      <c r="M394" s="7">
        <v>98.6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8">
        <v>44759</v>
      </c>
      <c r="B395" s="9">
        <v>23400</v>
      </c>
      <c r="C395" s="2">
        <f ca="1">IFERROR(__xludf.DUMMYFUNCTION("IF($A395="""","""", IFERROR(
  INDEX(
    FILTER(CPI_VN!$C$2:$C$82, MONTH(CPI_VN!$A$2:$A$82)=MONTH($A395), YEAR(CPI_VN!$A$2:$A$82)=YEAR($A395)),
    1
  ),
""""))"),3.14)</f>
        <v>3.14</v>
      </c>
      <c r="D395" s="2">
        <f ca="1">IFERROR(__xludf.DUMMYFUNCTION("IF($A395="""","""", IFERROR(
  INDEX(
    FILTER(CPI_US!$D$2:$D$130, MONTH(CPI_US!$A$2:$A$130)=MONTH($A395), YEAR(CPI_US!$A$2:$A$130)=YEAR($A395)),
    1
  ),
""""))"),9.1)</f>
        <v>9.1</v>
      </c>
      <c r="E395" s="2">
        <v>3.427</v>
      </c>
      <c r="F395" s="2">
        <v>1.58</v>
      </c>
      <c r="G395" s="2">
        <v>1252</v>
      </c>
      <c r="H395" s="2">
        <v>3961.63</v>
      </c>
      <c r="I395" s="2">
        <v>11.57</v>
      </c>
      <c r="J395" s="2">
        <v>73.7</v>
      </c>
      <c r="K395" s="2">
        <f ca="1">IFERROR(__xludf.DUMMYFUNCTION("IF($A395="""","""", IFERROR(
  INDEX(
    FILTER(IMEX_VN!$B$2:$B$130, MONTH(IMEX_VN!$A$2:$A$130)=MONTH($A395), YEAR(IMEX_VN!$A$2:$A$130)=YEAR($A395)),
    1
  ),
""""))"),0.100000000000001)</f>
        <v>0.100000000000001</v>
      </c>
      <c r="L395" s="6">
        <v>107</v>
      </c>
      <c r="M395" s="7">
        <v>98.6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8">
        <v>44766</v>
      </c>
      <c r="B396" s="9">
        <v>23335</v>
      </c>
      <c r="C396" s="2">
        <f ca="1">IFERROR(__xludf.DUMMYFUNCTION("IF($A396="""","""", IFERROR(
  INDEX(
    FILTER(CPI_VN!$C$2:$C$82, MONTH(CPI_VN!$A$2:$A$82)=MONTH($A396), YEAR(CPI_VN!$A$2:$A$82)=YEAR($A396)),
    1
  ),
""""))"),3.14)</f>
        <v>3.14</v>
      </c>
      <c r="D396" s="2">
        <f ca="1">IFERROR(__xludf.DUMMYFUNCTION("IF($A396="""","""", IFERROR(
  INDEX(
    FILTER(CPI_US!$D$2:$D$130, MONTH(CPI_US!$A$2:$A$130)=MONTH($A396), YEAR(CPI_US!$A$2:$A$130)=YEAR($A396)),
    1
  ),
""""))"),9.1)</f>
        <v>9.1</v>
      </c>
      <c r="E396" s="2">
        <v>3.6320000000000001</v>
      </c>
      <c r="F396" s="2">
        <v>1.58</v>
      </c>
      <c r="G396" s="2">
        <v>1262</v>
      </c>
      <c r="H396" s="2">
        <v>4130.29</v>
      </c>
      <c r="I396" s="2">
        <v>11.57</v>
      </c>
      <c r="J396" s="2">
        <v>73.7</v>
      </c>
      <c r="K396" s="2">
        <f ca="1">IFERROR(__xludf.DUMMYFUNCTION("IF($A396="""","""", IFERROR(
  INDEX(
    FILTER(IMEX_VN!$B$2:$B$130, MONTH(IMEX_VN!$A$2:$A$130)=MONTH($A396), YEAR(IMEX_VN!$A$2:$A$130)=YEAR($A396)),
    1
  ),
""""))"),0.100000000000001)</f>
        <v>0.100000000000001</v>
      </c>
      <c r="L396" s="6">
        <v>106</v>
      </c>
      <c r="M396" s="7">
        <v>98.6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8">
        <v>44773</v>
      </c>
      <c r="B397" s="9">
        <v>23385</v>
      </c>
      <c r="C397" s="2">
        <f ca="1">IFERROR(__xludf.DUMMYFUNCTION("IF($A397="""","""", IFERROR(
  INDEX(
    FILTER(CPI_VN!$C$2:$C$82, MONTH(CPI_VN!$A$2:$A$82)=MONTH($A397), YEAR(CPI_VN!$A$2:$A$82)=YEAR($A397)),
    1
  ),
""""))"),3.14)</f>
        <v>3.14</v>
      </c>
      <c r="D397" s="2">
        <f ca="1">IFERROR(__xludf.DUMMYFUNCTION("IF($A397="""","""", IFERROR(
  INDEX(
    FILTER(CPI_US!$D$2:$D$130, MONTH(CPI_US!$A$2:$A$130)=MONTH($A397), YEAR(CPI_US!$A$2:$A$130)=YEAR($A397)),
    1
  ),
""""))"),9.1)</f>
        <v>9.1</v>
      </c>
      <c r="E397" s="2">
        <v>3.7120000000000002</v>
      </c>
      <c r="F397" s="2">
        <v>2.3199999999999998</v>
      </c>
      <c r="G397" s="2">
        <v>1269</v>
      </c>
      <c r="H397" s="2">
        <v>4145.1899999999996</v>
      </c>
      <c r="I397" s="2">
        <v>11.57</v>
      </c>
      <c r="J397" s="2">
        <v>73.7</v>
      </c>
      <c r="K397" s="2">
        <f ca="1">IFERROR(__xludf.DUMMYFUNCTION("IF($A397="""","""", IFERROR(
  INDEX(
    FILTER(IMEX_VN!$B$2:$B$130, MONTH(IMEX_VN!$A$2:$A$130)=MONTH($A397), YEAR(IMEX_VN!$A$2:$A$130)=YEAR($A397)),
    1
  ),
""""))"),0.100000000000001)</f>
        <v>0.100000000000001</v>
      </c>
      <c r="L397" s="6">
        <v>107</v>
      </c>
      <c r="M397" s="7">
        <v>98.6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8">
        <v>44780</v>
      </c>
      <c r="B398" s="9">
        <v>23392</v>
      </c>
      <c r="C398" s="2">
        <f ca="1">IFERROR(__xludf.DUMMYFUNCTION("IF($A398="""","""", IFERROR(
  INDEX(
    FILTER(CPI_VN!$C$2:$C$82, MONTH(CPI_VN!$A$2:$A$82)=MONTH($A398), YEAR(CPI_VN!$A$2:$A$82)=YEAR($A398)),
    1
  ),
""""))"),2.89)</f>
        <v>2.89</v>
      </c>
      <c r="D398" s="2">
        <f ca="1">IFERROR(__xludf.DUMMYFUNCTION("IF($A398="""","""", IFERROR(
  INDEX(
    FILTER(CPI_US!$D$2:$D$130, MONTH(CPI_US!$A$2:$A$130)=MONTH($A398), YEAR(CPI_US!$A$2:$A$130)=YEAR($A398)),
    1
  ),
""""))"),8.5)</f>
        <v>8.5</v>
      </c>
      <c r="E398" s="2">
        <v>3.6179999999999999</v>
      </c>
      <c r="F398" s="2">
        <v>2.33</v>
      </c>
      <c r="G398" s="2">
        <v>1282</v>
      </c>
      <c r="H398" s="2">
        <v>4280.1499999999996</v>
      </c>
      <c r="I398" s="2">
        <v>12.8</v>
      </c>
      <c r="J398" s="2">
        <v>73.7</v>
      </c>
      <c r="K398" s="2">
        <f ca="1">IFERROR(__xludf.DUMMYFUNCTION("IF($A398="""","""", IFERROR(
  INDEX(
    FILTER(IMEX_VN!$B$2:$B$130, MONTH(IMEX_VN!$A$2:$A$130)=MONTH($A398), YEAR(IMEX_VN!$A$2:$A$130)=YEAR($A398)),
    1
  ),
""""))"),3.29999999999999)</f>
        <v>3.2999999999999901</v>
      </c>
      <c r="L398" s="6">
        <v>106</v>
      </c>
      <c r="M398" s="7">
        <v>92.1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8">
        <v>44787</v>
      </c>
      <c r="B399" s="9">
        <v>23400</v>
      </c>
      <c r="C399" s="2">
        <f ca="1">IFERROR(__xludf.DUMMYFUNCTION("IF($A399="""","""", IFERROR(
  INDEX(
    FILTER(CPI_VN!$C$2:$C$82, MONTH(CPI_VN!$A$2:$A$82)=MONTH($A399), YEAR(CPI_VN!$A$2:$A$82)=YEAR($A399)),
    1
  ),
""""))"),2.89)</f>
        <v>2.89</v>
      </c>
      <c r="D399" s="2">
        <f ca="1">IFERROR(__xludf.DUMMYFUNCTION("IF($A399="""","""", IFERROR(
  INDEX(
    FILTER(CPI_US!$D$2:$D$130, MONTH(CPI_US!$A$2:$A$130)=MONTH($A399), YEAR(CPI_US!$A$2:$A$130)=YEAR($A399)),
    1
  ),
""""))"),8.5)</f>
        <v>8.5</v>
      </c>
      <c r="E399" s="2">
        <v>3.6030000000000002</v>
      </c>
      <c r="F399" s="2">
        <v>2.33</v>
      </c>
      <c r="G399" s="2">
        <v>1280</v>
      </c>
      <c r="H399" s="2">
        <v>4228.4799999999996</v>
      </c>
      <c r="I399" s="2">
        <v>12.8</v>
      </c>
      <c r="J399" s="2">
        <v>73.7</v>
      </c>
      <c r="K399" s="2">
        <f ca="1">IFERROR(__xludf.DUMMYFUNCTION("IF($A399="""","""", IFERROR(
  INDEX(
    FILTER(IMEX_VN!$B$2:$B$130, MONTH(IMEX_VN!$A$2:$A$130)=MONTH($A399), YEAR(IMEX_VN!$A$2:$A$130)=YEAR($A399)),
    1
  ),
""""))"),3.29999999999999)</f>
        <v>3.2999999999999901</v>
      </c>
      <c r="L399" s="6">
        <v>108</v>
      </c>
      <c r="M399" s="7">
        <v>92.1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8">
        <v>44794</v>
      </c>
      <c r="B400" s="9">
        <v>23412</v>
      </c>
      <c r="C400" s="2">
        <f ca="1">IFERROR(__xludf.DUMMYFUNCTION("IF($A400="""","""", IFERROR(
  INDEX(
    FILTER(CPI_VN!$C$2:$C$82, MONTH(CPI_VN!$A$2:$A$82)=MONTH($A400), YEAR(CPI_VN!$A$2:$A$82)=YEAR($A400)),
    1
  ),
""""))"),2.89)</f>
        <v>2.89</v>
      </c>
      <c r="D400" s="2">
        <f ca="1">IFERROR(__xludf.DUMMYFUNCTION("IF($A400="""","""", IFERROR(
  INDEX(
    FILTER(CPI_US!$D$2:$D$130, MONTH(CPI_US!$A$2:$A$130)=MONTH($A400), YEAR(CPI_US!$A$2:$A$130)=YEAR($A400)),
    1
  ),
""""))"),8.5)</f>
        <v>8.5</v>
      </c>
      <c r="E400" s="2">
        <v>3.641</v>
      </c>
      <c r="F400" s="2">
        <v>2.33</v>
      </c>
      <c r="G400" s="2">
        <v>1248</v>
      </c>
      <c r="H400" s="2">
        <v>4057.66</v>
      </c>
      <c r="I400" s="2">
        <v>12.8</v>
      </c>
      <c r="J400" s="2">
        <v>73.7</v>
      </c>
      <c r="K400" s="2">
        <f ca="1">IFERROR(__xludf.DUMMYFUNCTION("IF($A400="""","""", IFERROR(
  INDEX(
    FILTER(IMEX_VN!$B$2:$B$130, MONTH(IMEX_VN!$A$2:$A$130)=MONTH($A400), YEAR(IMEX_VN!$A$2:$A$130)=YEAR($A400)),
    1
  ),
""""))"),3.29999999999999)</f>
        <v>3.2999999999999901</v>
      </c>
      <c r="L400" s="6">
        <v>109</v>
      </c>
      <c r="M400" s="7">
        <v>92.1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8">
        <v>44801</v>
      </c>
      <c r="B401" s="9">
        <v>23450</v>
      </c>
      <c r="C401" s="2">
        <f ca="1">IFERROR(__xludf.DUMMYFUNCTION("IF($A401="""","""", IFERROR(
  INDEX(
    FILTER(CPI_VN!$C$2:$C$82, MONTH(CPI_VN!$A$2:$A$82)=MONTH($A401), YEAR(CPI_VN!$A$2:$A$82)=YEAR($A401)),
    1
  ),
""""))"),2.89)</f>
        <v>2.89</v>
      </c>
      <c r="D401" s="2">
        <f ca="1">IFERROR(__xludf.DUMMYFUNCTION("IF($A401="""","""", IFERROR(
  INDEX(
    FILTER(CPI_US!$D$2:$D$130, MONTH(CPI_US!$A$2:$A$130)=MONTH($A401), YEAR(CPI_US!$A$2:$A$130)=YEAR($A401)),
    1
  ),
""""))"),8.5)</f>
        <v>8.5</v>
      </c>
      <c r="E401" s="2">
        <v>3.681</v>
      </c>
      <c r="F401" s="2">
        <v>2.33</v>
      </c>
      <c r="G401" s="2">
        <v>1234</v>
      </c>
      <c r="H401" s="2">
        <v>3924.26</v>
      </c>
      <c r="I401" s="2">
        <v>12.8</v>
      </c>
      <c r="J401" s="2">
        <v>73.7</v>
      </c>
      <c r="K401" s="2">
        <f ca="1">IFERROR(__xludf.DUMMYFUNCTION("IF($A401="""","""", IFERROR(
  INDEX(
    FILTER(IMEX_VN!$B$2:$B$130, MONTH(IMEX_VN!$A$2:$A$130)=MONTH($A401), YEAR(IMEX_VN!$A$2:$A$130)=YEAR($A401)),
    1
  ),
""""))"),3.29999999999999)</f>
        <v>3.2999999999999901</v>
      </c>
      <c r="L401" s="6">
        <v>110</v>
      </c>
      <c r="M401" s="7">
        <v>92.1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8">
        <v>44808</v>
      </c>
      <c r="B402" s="9">
        <v>23515</v>
      </c>
      <c r="C402" s="2">
        <f ca="1">IFERROR(__xludf.DUMMYFUNCTION("IF($A402="""","""", IFERROR(
  INDEX(
    FILTER(CPI_VN!$C$2:$C$82, MONTH(CPI_VN!$A$2:$A$82)=MONTH($A402), YEAR(CPI_VN!$A$2:$A$82)=YEAR($A402)),
    1
  ),
""""))"),3.94)</f>
        <v>3.94</v>
      </c>
      <c r="D402" s="2">
        <f ca="1">IFERROR(__xludf.DUMMYFUNCTION("IF($A402="""","""", IFERROR(
  INDEX(
    FILTER(CPI_US!$D$2:$D$130, MONTH(CPI_US!$A$2:$A$130)=MONTH($A402), YEAR(CPI_US!$A$2:$A$130)=YEAR($A402)),
    1
  ),
""""))"),8.3)</f>
        <v>8.3000000000000007</v>
      </c>
      <c r="E402" s="2">
        <v>3.8170000000000002</v>
      </c>
      <c r="F402" s="2">
        <v>2.33</v>
      </c>
      <c r="G402" s="2">
        <v>1203</v>
      </c>
      <c r="H402" s="2">
        <v>4067.36</v>
      </c>
      <c r="I402" s="2">
        <v>15.4</v>
      </c>
      <c r="J402" s="2">
        <v>73.7</v>
      </c>
      <c r="K402" s="2">
        <f ca="1">IFERROR(__xludf.DUMMYFUNCTION("IF($A402="""","""", IFERROR(
  INDEX(
    FILTER(IMEX_VN!$B$2:$B$130, MONTH(IMEX_VN!$A$2:$A$130)=MONTH($A402), YEAR(IMEX_VN!$A$2:$A$130)=YEAR($A402)),
    1
  ),
""""))"),1.4)</f>
        <v>1.4</v>
      </c>
      <c r="L402" s="6">
        <v>109</v>
      </c>
      <c r="M402" s="7">
        <v>85.8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8">
        <v>44815</v>
      </c>
      <c r="B403" s="9">
        <v>23650</v>
      </c>
      <c r="C403" s="2">
        <f ca="1">IFERROR(__xludf.DUMMYFUNCTION("IF($A403="""","""", IFERROR(
  INDEX(
    FILTER(CPI_VN!$C$2:$C$82, MONTH(CPI_VN!$A$2:$A$82)=MONTH($A403), YEAR(CPI_VN!$A$2:$A$82)=YEAR($A403)),
    1
  ),
""""))"),3.94)</f>
        <v>3.94</v>
      </c>
      <c r="D403" s="2">
        <f ca="1">IFERROR(__xludf.DUMMYFUNCTION("IF($A403="""","""", IFERROR(
  INDEX(
    FILTER(CPI_US!$D$2:$D$130, MONTH(CPI_US!$A$2:$A$130)=MONTH($A403), YEAR(CPI_US!$A$2:$A$130)=YEAR($A403)),
    1
  ),
""""))"),8.3)</f>
        <v>8.3000000000000007</v>
      </c>
      <c r="E403" s="2">
        <v>3.9</v>
      </c>
      <c r="F403" s="2">
        <v>2.33</v>
      </c>
      <c r="G403" s="2">
        <v>1132</v>
      </c>
      <c r="H403" s="2">
        <v>3873.33</v>
      </c>
      <c r="I403" s="2">
        <v>15.4</v>
      </c>
      <c r="J403" s="2">
        <v>73.7</v>
      </c>
      <c r="K403" s="2">
        <f ca="1">IFERROR(__xludf.DUMMYFUNCTION("IF($A403="""","""", IFERROR(
  INDEX(
    FILTER(IMEX_VN!$B$2:$B$130, MONTH(IMEX_VN!$A$2:$A$130)=MONTH($A403), YEAR(IMEX_VN!$A$2:$A$130)=YEAR($A403)),
    1
  ),
""""))"),1.4)</f>
        <v>1.4</v>
      </c>
      <c r="L403" s="6">
        <v>110</v>
      </c>
      <c r="M403" s="7">
        <v>85.8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8">
        <v>44822</v>
      </c>
      <c r="B404" s="9">
        <v>23700</v>
      </c>
      <c r="C404" s="2">
        <f ca="1">IFERROR(__xludf.DUMMYFUNCTION("IF($A404="""","""", IFERROR(
  INDEX(
    FILTER(CPI_VN!$C$2:$C$82, MONTH(CPI_VN!$A$2:$A$82)=MONTH($A404), YEAR(CPI_VN!$A$2:$A$82)=YEAR($A404)),
    1
  ),
""""))"),3.94)</f>
        <v>3.94</v>
      </c>
      <c r="D404" s="2">
        <f ca="1">IFERROR(__xludf.DUMMYFUNCTION("IF($A404="""","""", IFERROR(
  INDEX(
    FILTER(CPI_US!$D$2:$D$130, MONTH(CPI_US!$A$2:$A$130)=MONTH($A404), YEAR(CPI_US!$A$2:$A$130)=YEAR($A404)),
    1
  ),
""""))"),8.3)</f>
        <v>8.3000000000000007</v>
      </c>
      <c r="E404" s="2">
        <v>4.6449999999999996</v>
      </c>
      <c r="F404" s="2">
        <v>2.33</v>
      </c>
      <c r="G404" s="2">
        <v>1035</v>
      </c>
      <c r="H404" s="2">
        <v>3693.23</v>
      </c>
      <c r="I404" s="2">
        <v>15.4</v>
      </c>
      <c r="J404" s="2">
        <v>73.7</v>
      </c>
      <c r="K404" s="2">
        <f ca="1">IFERROR(__xludf.DUMMYFUNCTION("IF($A404="""","""", IFERROR(
  INDEX(
    FILTER(IMEX_VN!$B$2:$B$130, MONTH(IMEX_VN!$A$2:$A$130)=MONTH($A404), YEAR(IMEX_VN!$A$2:$A$130)=YEAR($A404)),
    1
  ),
""""))"),1.4)</f>
        <v>1.4</v>
      </c>
      <c r="L404" s="6">
        <v>113</v>
      </c>
      <c r="M404" s="7">
        <v>85.8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8">
        <v>44829</v>
      </c>
      <c r="B405" s="9">
        <v>23855</v>
      </c>
      <c r="C405" s="2">
        <f ca="1">IFERROR(__xludf.DUMMYFUNCTION("IF($A405="""","""", IFERROR(
  INDEX(
    FILTER(CPI_VN!$C$2:$C$82, MONTH(CPI_VN!$A$2:$A$82)=MONTH($A405), YEAR(CPI_VN!$A$2:$A$82)=YEAR($A405)),
    1
  ),
""""))"),3.94)</f>
        <v>3.94</v>
      </c>
      <c r="D405" s="2">
        <f ca="1">IFERROR(__xludf.DUMMYFUNCTION("IF($A405="""","""", IFERROR(
  INDEX(
    FILTER(CPI_US!$D$2:$D$130, MONTH(CPI_US!$A$2:$A$130)=MONTH($A405), YEAR(CPI_US!$A$2:$A$130)=YEAR($A405)),
    1
  ),
""""))"),8.3)</f>
        <v>8.3000000000000007</v>
      </c>
      <c r="E405" s="2">
        <v>5.016</v>
      </c>
      <c r="F405" s="2">
        <v>3.08</v>
      </c>
      <c r="G405" s="2">
        <v>1061</v>
      </c>
      <c r="H405" s="2">
        <v>3585.62</v>
      </c>
      <c r="I405" s="2">
        <v>15.4</v>
      </c>
      <c r="J405" s="2">
        <v>73.7</v>
      </c>
      <c r="K405" s="2">
        <f ca="1">IFERROR(__xludf.DUMMYFUNCTION("IF($A405="""","""", IFERROR(
  INDEX(
    FILTER(IMEX_VN!$B$2:$B$130, MONTH(IMEX_VN!$A$2:$A$130)=MONTH($A405), YEAR(IMEX_VN!$A$2:$A$130)=YEAR($A405)),
    1
  ),
""""))"),1.4)</f>
        <v>1.4</v>
      </c>
      <c r="L405" s="6">
        <v>112</v>
      </c>
      <c r="M405" s="7">
        <v>85.8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8">
        <v>44836</v>
      </c>
      <c r="B406" s="9">
        <v>23875</v>
      </c>
      <c r="C406" s="2">
        <f ca="1">IFERROR(__xludf.DUMMYFUNCTION("IF($A406="""","""", IFERROR(
  INDEX(
    FILTER(CPI_VN!$C$2:$C$82, MONTH(CPI_VN!$A$2:$A$82)=MONTH($A406), YEAR(CPI_VN!$A$2:$A$82)=YEAR($A406)),
    1
  ),
""""))"),4.3)</f>
        <v>4.3</v>
      </c>
      <c r="D406" s="2">
        <f ca="1">IFERROR(__xludf.DUMMYFUNCTION("IF($A406="""","""", IFERROR(
  INDEX(
    FILTER(CPI_US!$D$2:$D$130, MONTH(CPI_US!$A$2:$A$130)=MONTH($A406), YEAR(CPI_US!$A$2:$A$130)=YEAR($A406)),
    1
  ),
""""))"),8.2)</f>
        <v>8.1999999999999993</v>
      </c>
      <c r="E406" s="2">
        <v>5.1420000000000003</v>
      </c>
      <c r="F406" s="2">
        <v>3.08</v>
      </c>
      <c r="G406" s="2">
        <v>1019</v>
      </c>
      <c r="H406" s="2">
        <v>3639.66</v>
      </c>
      <c r="I406" s="2">
        <v>17.7</v>
      </c>
      <c r="J406" s="2">
        <v>69</v>
      </c>
      <c r="K406" s="2">
        <f ca="1">IFERROR(__xludf.DUMMYFUNCTION("IF($A406="""","""", IFERROR(
  INDEX(
    FILTER(IMEX_VN!$B$2:$B$130, MONTH(IMEX_VN!$A$2:$A$130)=MONTH($A406), YEAR(IMEX_VN!$A$2:$A$130)=YEAR($A406)),
    1
  ),
""""))"),2.5)</f>
        <v>2.5</v>
      </c>
      <c r="L406" s="6">
        <v>113</v>
      </c>
      <c r="M406" s="7">
        <v>84.1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8">
        <v>44843</v>
      </c>
      <c r="B407" s="9">
        <v>24110</v>
      </c>
      <c r="C407" s="2">
        <f ca="1">IFERROR(__xludf.DUMMYFUNCTION("IF($A407="""","""", IFERROR(
  INDEX(
    FILTER(CPI_VN!$C$2:$C$82, MONTH(CPI_VN!$A$2:$A$82)=MONTH($A407), YEAR(CPI_VN!$A$2:$A$82)=YEAR($A407)),
    1
  ),
""""))"),4.3)</f>
        <v>4.3</v>
      </c>
      <c r="D407" s="2">
        <f ca="1">IFERROR(__xludf.DUMMYFUNCTION("IF($A407="""","""", IFERROR(
  INDEX(
    FILTER(CPI_US!$D$2:$D$130, MONTH(CPI_US!$A$2:$A$130)=MONTH($A407), YEAR(CPI_US!$A$2:$A$130)=YEAR($A407)),
    1
  ),
""""))"),8.2)</f>
        <v>8.1999999999999993</v>
      </c>
      <c r="E407" s="2">
        <v>5.1710000000000003</v>
      </c>
      <c r="F407" s="2">
        <v>3.08</v>
      </c>
      <c r="G407" s="2">
        <v>1027</v>
      </c>
      <c r="H407" s="2">
        <v>3583.07</v>
      </c>
      <c r="I407" s="2">
        <v>17.7</v>
      </c>
      <c r="J407" s="2">
        <v>69</v>
      </c>
      <c r="K407" s="2">
        <f ca="1">IFERROR(__xludf.DUMMYFUNCTION("IF($A407="""","""", IFERROR(
  INDEX(
    FILTER(IMEX_VN!$B$2:$B$130, MONTH(IMEX_VN!$A$2:$A$130)=MONTH($A407), YEAR(IMEX_VN!$A$2:$A$130)=YEAR($A407)),
    1
  ),
""""))"),2.5)</f>
        <v>2.5</v>
      </c>
      <c r="L407" s="6">
        <v>113</v>
      </c>
      <c r="M407" s="7">
        <v>84.1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8">
        <v>44850</v>
      </c>
      <c r="B408" s="9">
        <v>24820</v>
      </c>
      <c r="C408" s="2">
        <f ca="1">IFERROR(__xludf.DUMMYFUNCTION("IF($A408="""","""", IFERROR(
  INDEX(
    FILTER(CPI_VN!$C$2:$C$82, MONTH(CPI_VN!$A$2:$A$82)=MONTH($A408), YEAR(CPI_VN!$A$2:$A$82)=YEAR($A408)),
    1
  ),
""""))"),4.3)</f>
        <v>4.3</v>
      </c>
      <c r="D408" s="2">
        <f ca="1">IFERROR(__xludf.DUMMYFUNCTION("IF($A408="""","""", IFERROR(
  INDEX(
    FILTER(CPI_US!$D$2:$D$130, MONTH(CPI_US!$A$2:$A$130)=MONTH($A408), YEAR(CPI_US!$A$2:$A$130)=YEAR($A408)),
    1
  ),
""""))"),8.2)</f>
        <v>8.1999999999999993</v>
      </c>
      <c r="E408" s="2">
        <v>5.0780000000000003</v>
      </c>
      <c r="F408" s="2">
        <v>3.08</v>
      </c>
      <c r="G408" s="2">
        <v>997</v>
      </c>
      <c r="H408" s="2">
        <v>3752.75</v>
      </c>
      <c r="I408" s="2">
        <v>17.7</v>
      </c>
      <c r="J408" s="2">
        <v>69</v>
      </c>
      <c r="K408" s="2">
        <f ca="1">IFERROR(__xludf.DUMMYFUNCTION("IF($A408="""","""", IFERROR(
  INDEX(
    FILTER(IMEX_VN!$B$2:$B$130, MONTH(IMEX_VN!$A$2:$A$130)=MONTH($A408), YEAR(IMEX_VN!$A$2:$A$130)=YEAR($A408)),
    1
  ),
""""))"),2.5)</f>
        <v>2.5</v>
      </c>
      <c r="L408" s="6">
        <v>112</v>
      </c>
      <c r="M408" s="7">
        <v>84.1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8">
        <v>44857</v>
      </c>
      <c r="B409" s="9">
        <v>24820</v>
      </c>
      <c r="C409" s="2">
        <f ca="1">IFERROR(__xludf.DUMMYFUNCTION("IF($A409="""","""", IFERROR(
  INDEX(
    FILTER(CPI_VN!$C$2:$C$82, MONTH(CPI_VN!$A$2:$A$82)=MONTH($A409), YEAR(CPI_VN!$A$2:$A$82)=YEAR($A409)),
    1
  ),
""""))"),4.3)</f>
        <v>4.3</v>
      </c>
      <c r="D409" s="2">
        <f ca="1">IFERROR(__xludf.DUMMYFUNCTION("IF($A409="""","""", IFERROR(
  INDEX(
    FILTER(CPI_US!$D$2:$D$130, MONTH(CPI_US!$A$2:$A$130)=MONTH($A409), YEAR(CPI_US!$A$2:$A$130)=YEAR($A409)),
    1
  ),
""""))"),8.2)</f>
        <v>8.1999999999999993</v>
      </c>
      <c r="E409" s="2">
        <v>5.1890000000000001</v>
      </c>
      <c r="F409" s="2">
        <v>3.08</v>
      </c>
      <c r="G409" s="2">
        <v>954</v>
      </c>
      <c r="H409" s="2">
        <v>3901.06</v>
      </c>
      <c r="I409" s="2">
        <v>17.7</v>
      </c>
      <c r="J409" s="2">
        <v>69</v>
      </c>
      <c r="K409" s="2">
        <f ca="1">IFERROR(__xludf.DUMMYFUNCTION("IF($A409="""","""", IFERROR(
  INDEX(
    FILTER(IMEX_VN!$B$2:$B$130, MONTH(IMEX_VN!$A$2:$A$130)=MONTH($A409), YEAR(IMEX_VN!$A$2:$A$130)=YEAR($A409)),
    1
  ),
""""))"),2.5)</f>
        <v>2.5</v>
      </c>
      <c r="L409" s="6">
        <v>111</v>
      </c>
      <c r="M409" s="7">
        <v>84.1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8">
        <v>44864</v>
      </c>
      <c r="B410" s="9">
        <v>24870</v>
      </c>
      <c r="C410" s="2">
        <f ca="1">IFERROR(__xludf.DUMMYFUNCTION("IF($A410="""","""", IFERROR(
  INDEX(
    FILTER(CPI_VN!$C$2:$C$82, MONTH(CPI_VN!$A$2:$A$82)=MONTH($A410), YEAR(CPI_VN!$A$2:$A$82)=YEAR($A410)),
    1
  ),
""""))"),4.3)</f>
        <v>4.3</v>
      </c>
      <c r="D410" s="2">
        <f ca="1">IFERROR(__xludf.DUMMYFUNCTION("IF($A410="""","""", IFERROR(
  INDEX(
    FILTER(CPI_US!$D$2:$D$130, MONTH(CPI_US!$A$2:$A$130)=MONTH($A410), YEAR(CPI_US!$A$2:$A$130)=YEAR($A410)),
    1
  ),
""""))"),8.2)</f>
        <v>8.1999999999999993</v>
      </c>
      <c r="E410" s="2">
        <v>5.2089999999999996</v>
      </c>
      <c r="F410" s="2">
        <v>3.08</v>
      </c>
      <c r="G410" s="2">
        <v>969</v>
      </c>
      <c r="H410" s="2">
        <v>3770.55</v>
      </c>
      <c r="I410" s="2">
        <v>17.7</v>
      </c>
      <c r="J410" s="2">
        <v>69</v>
      </c>
      <c r="K410" s="2">
        <f ca="1">IFERROR(__xludf.DUMMYFUNCTION("IF($A410="""","""", IFERROR(
  INDEX(
    FILTER(IMEX_VN!$B$2:$B$130, MONTH(IMEX_VN!$A$2:$A$130)=MONTH($A410), YEAR(IMEX_VN!$A$2:$A$130)=YEAR($A410)),
    1
  ),
""""))"),2.5)</f>
        <v>2.5</v>
      </c>
      <c r="L410" s="6">
        <v>111</v>
      </c>
      <c r="M410" s="7">
        <v>84.1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8">
        <v>44871</v>
      </c>
      <c r="B411" s="9">
        <v>24805</v>
      </c>
      <c r="C411" s="2">
        <f ca="1">IFERROR(__xludf.DUMMYFUNCTION("IF($A411="""","""", IFERROR(
  INDEX(
    FILTER(CPI_VN!$C$2:$C$82, MONTH(CPI_VN!$A$2:$A$82)=MONTH($A411), YEAR(CPI_VN!$A$2:$A$82)=YEAR($A411)),
    1
  ),
""""))"),4.37)</f>
        <v>4.37</v>
      </c>
      <c r="D411" s="2">
        <f ca="1">IFERROR(__xludf.DUMMYFUNCTION("IF($A411="""","""", IFERROR(
  INDEX(
    FILTER(CPI_US!$D$2:$D$130, MONTH(CPI_US!$A$2:$A$130)=MONTH($A411), YEAR(CPI_US!$A$2:$A$130)=YEAR($A411)),
    1
  ),
""""))"),7.7)</f>
        <v>7.7</v>
      </c>
      <c r="E411" s="2">
        <v>5.1680000000000001</v>
      </c>
      <c r="F411" s="2">
        <v>3.83</v>
      </c>
      <c r="G411" s="2">
        <v>971</v>
      </c>
      <c r="H411" s="2">
        <v>3992.93</v>
      </c>
      <c r="I411" s="2">
        <v>19.7</v>
      </c>
      <c r="J411" s="2">
        <v>69</v>
      </c>
      <c r="K411" s="2">
        <f ca="1">IFERROR(__xludf.DUMMYFUNCTION("IF($A411="""","""", IFERROR(
  INDEX(
    FILTER(IMEX_VN!$B$2:$B$130, MONTH(IMEX_VN!$A$2:$A$130)=MONTH($A411), YEAR(IMEX_VN!$A$2:$A$130)=YEAR($A411)),
    1
  ),
""""))"),0.600000000000001)</f>
        <v>0.60000000000000098</v>
      </c>
      <c r="L411" s="6">
        <v>106</v>
      </c>
      <c r="M411" s="7">
        <v>83.5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8">
        <v>44878</v>
      </c>
      <c r="B412" s="9">
        <v>24800</v>
      </c>
      <c r="C412" s="2">
        <f ca="1">IFERROR(__xludf.DUMMYFUNCTION("IF($A412="""","""", IFERROR(
  INDEX(
    FILTER(CPI_VN!$C$2:$C$82, MONTH(CPI_VN!$A$2:$A$82)=MONTH($A412), YEAR(CPI_VN!$A$2:$A$82)=YEAR($A412)),
    1
  ),
""""))"),4.37)</f>
        <v>4.37</v>
      </c>
      <c r="D412" s="2">
        <f ca="1">IFERROR(__xludf.DUMMYFUNCTION("IF($A412="""","""", IFERROR(
  INDEX(
    FILTER(CPI_US!$D$2:$D$130, MONTH(CPI_US!$A$2:$A$130)=MONTH($A412), YEAR(CPI_US!$A$2:$A$130)=YEAR($A412)),
    1
  ),
""""))"),7.7)</f>
        <v>7.7</v>
      </c>
      <c r="E412" s="2">
        <v>5.1420000000000003</v>
      </c>
      <c r="F412" s="2">
        <v>3.83</v>
      </c>
      <c r="G412" s="2">
        <v>1080</v>
      </c>
      <c r="H412" s="2">
        <v>3965.34</v>
      </c>
      <c r="I412" s="2">
        <v>19.7</v>
      </c>
      <c r="J412" s="2">
        <v>69</v>
      </c>
      <c r="K412" s="2">
        <f ca="1">IFERROR(__xludf.DUMMYFUNCTION("IF($A412="""","""", IFERROR(
  INDEX(
    FILTER(IMEX_VN!$B$2:$B$130, MONTH(IMEX_VN!$A$2:$A$130)=MONTH($A412), YEAR(IMEX_VN!$A$2:$A$130)=YEAR($A412)),
    1
  ),
""""))"),0.600000000000001)</f>
        <v>0.60000000000000098</v>
      </c>
      <c r="L412" s="6">
        <v>107</v>
      </c>
      <c r="M412" s="7">
        <v>83.5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8">
        <v>44885</v>
      </c>
      <c r="B413" s="9">
        <v>24760</v>
      </c>
      <c r="C413" s="2">
        <f ca="1">IFERROR(__xludf.DUMMYFUNCTION("IF($A413="""","""", IFERROR(
  INDEX(
    FILTER(CPI_VN!$C$2:$C$82, MONTH(CPI_VN!$A$2:$A$82)=MONTH($A413), YEAR(CPI_VN!$A$2:$A$82)=YEAR($A413)),
    1
  ),
""""))"),4.37)</f>
        <v>4.37</v>
      </c>
      <c r="D413" s="2">
        <f ca="1">IFERROR(__xludf.DUMMYFUNCTION("IF($A413="""","""", IFERROR(
  INDEX(
    FILTER(CPI_US!$D$2:$D$130, MONTH(CPI_US!$A$2:$A$130)=MONTH($A413), YEAR(CPI_US!$A$2:$A$130)=YEAR($A413)),
    1
  ),
""""))"),7.7)</f>
        <v>7.7</v>
      </c>
      <c r="E413" s="2">
        <v>5.1589999999999998</v>
      </c>
      <c r="F413" s="2">
        <v>3.83</v>
      </c>
      <c r="G413" s="2">
        <v>1051</v>
      </c>
      <c r="H413" s="2">
        <v>4026.12</v>
      </c>
      <c r="I413" s="2">
        <v>19.7</v>
      </c>
      <c r="J413" s="2">
        <v>69</v>
      </c>
      <c r="K413" s="2">
        <f ca="1">IFERROR(__xludf.DUMMYFUNCTION("IF($A413="""","""", IFERROR(
  INDEX(
    FILTER(IMEX_VN!$B$2:$B$130, MONTH(IMEX_VN!$A$2:$A$130)=MONTH($A413), YEAR(IMEX_VN!$A$2:$A$130)=YEAR($A413)),
    1
  ),
""""))"),0.600000000000001)</f>
        <v>0.60000000000000098</v>
      </c>
      <c r="L413" s="6">
        <v>106</v>
      </c>
      <c r="M413" s="7">
        <v>83.5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8">
        <v>44892</v>
      </c>
      <c r="B414" s="9">
        <v>24350</v>
      </c>
      <c r="C414" s="2">
        <f ca="1">IFERROR(__xludf.DUMMYFUNCTION("IF($A414="""","""", IFERROR(
  INDEX(
    FILTER(CPI_VN!$C$2:$C$82, MONTH(CPI_VN!$A$2:$A$82)=MONTH($A414), YEAR(CPI_VN!$A$2:$A$82)=YEAR($A414)),
    1
  ),
""""))"),4.37)</f>
        <v>4.37</v>
      </c>
      <c r="D414" s="2">
        <f ca="1">IFERROR(__xludf.DUMMYFUNCTION("IF($A414="""","""", IFERROR(
  INDEX(
    FILTER(CPI_US!$D$2:$D$130, MONTH(CPI_US!$A$2:$A$130)=MONTH($A414), YEAR(CPI_US!$A$2:$A$130)=YEAR($A414)),
    1
  ),
""""))"),7.7)</f>
        <v>7.7</v>
      </c>
      <c r="E414" s="2">
        <v>5.1680000000000001</v>
      </c>
      <c r="F414" s="2">
        <v>3.83</v>
      </c>
      <c r="G414" s="2">
        <v>1052</v>
      </c>
      <c r="H414" s="2">
        <v>4071.7</v>
      </c>
      <c r="I414" s="2">
        <v>19.7</v>
      </c>
      <c r="J414" s="2">
        <v>69</v>
      </c>
      <c r="K414" s="2">
        <f ca="1">IFERROR(__xludf.DUMMYFUNCTION("IF($A414="""","""", IFERROR(
  INDEX(
    FILTER(IMEX_VN!$B$2:$B$130, MONTH(IMEX_VN!$A$2:$A$130)=MONTH($A414), YEAR(IMEX_VN!$A$2:$A$130)=YEAR($A414)),
    1
  ),
""""))"),0.600000000000001)</f>
        <v>0.60000000000000098</v>
      </c>
      <c r="L414" s="6">
        <v>105</v>
      </c>
      <c r="M414" s="7">
        <v>83.5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8">
        <v>44899</v>
      </c>
      <c r="B415" s="9">
        <v>23550</v>
      </c>
      <c r="C415" s="2">
        <f ca="1">IFERROR(__xludf.DUMMYFUNCTION("IF($A415="""","""", IFERROR(
  INDEX(
    FILTER(CPI_VN!$C$2:$C$82, MONTH(CPI_VN!$A$2:$A$82)=MONTH($A415), YEAR(CPI_VN!$A$2:$A$82)=YEAR($A415)),
    1
  ),
""""))"),4.55)</f>
        <v>4.55</v>
      </c>
      <c r="D415" s="2">
        <f ca="1">IFERROR(__xludf.DUMMYFUNCTION("IF($A415="""","""", IFERROR(
  INDEX(
    FILTER(CPI_US!$D$2:$D$130, MONTH(CPI_US!$A$2:$A$130)=MONTH($A415), YEAR(CPI_US!$A$2:$A$130)=YEAR($A415)),
    1
  ),
""""))"),7.1)</f>
        <v>7.1</v>
      </c>
      <c r="E415" s="2">
        <v>5.1429999999999998</v>
      </c>
      <c r="F415" s="2">
        <v>3.83</v>
      </c>
      <c r="G415" s="2">
        <v>1020</v>
      </c>
      <c r="H415" s="2">
        <v>3934.38</v>
      </c>
      <c r="I415" s="2">
        <v>22.4</v>
      </c>
      <c r="J415" s="2">
        <v>69</v>
      </c>
      <c r="K415" s="2">
        <f ca="1">IFERROR(__xludf.DUMMYFUNCTION("IF($A415="""","""", IFERROR(
  INDEX(
    FILTER(IMEX_VN!$B$2:$B$130, MONTH(IMEX_VN!$A$2:$A$130)=MONTH($A415), YEAR(IMEX_VN!$A$2:$A$130)=YEAR($A415)),
    1
  ),
""""))"),2.39999999999999)</f>
        <v>2.3999999999999901</v>
      </c>
      <c r="L415" s="6">
        <v>105</v>
      </c>
      <c r="M415" s="7">
        <v>84.7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8">
        <v>44906</v>
      </c>
      <c r="B416" s="9">
        <v>23580</v>
      </c>
      <c r="C416" s="2">
        <f ca="1">IFERROR(__xludf.DUMMYFUNCTION("IF($A416="""","""", IFERROR(
  INDEX(
    FILTER(CPI_VN!$C$2:$C$82, MONTH(CPI_VN!$A$2:$A$82)=MONTH($A416), YEAR(CPI_VN!$A$2:$A$82)=YEAR($A416)),
    1
  ),
""""))"),4.55)</f>
        <v>4.55</v>
      </c>
      <c r="D416" s="2">
        <f ca="1">IFERROR(__xludf.DUMMYFUNCTION("IF($A416="""","""", IFERROR(
  INDEX(
    FILTER(CPI_US!$D$2:$D$130, MONTH(CPI_US!$A$2:$A$130)=MONTH($A416), YEAR(CPI_US!$A$2:$A$130)=YEAR($A416)),
    1
  ),
""""))"),7.1)</f>
        <v>7.1</v>
      </c>
      <c r="E416" s="2">
        <v>5.1289999999999996</v>
      </c>
      <c r="F416" s="2">
        <v>3.83</v>
      </c>
      <c r="G416" s="2">
        <v>1007</v>
      </c>
      <c r="H416" s="2">
        <v>3852.36</v>
      </c>
      <c r="I416" s="2">
        <v>22.4</v>
      </c>
      <c r="J416" s="2">
        <v>69</v>
      </c>
      <c r="K416" s="2">
        <f ca="1">IFERROR(__xludf.DUMMYFUNCTION("IF($A416="""","""", IFERROR(
  INDEX(
    FILTER(IMEX_VN!$B$2:$B$130, MONTH(IMEX_VN!$A$2:$A$130)=MONTH($A416), YEAR(IMEX_VN!$A$2:$A$130)=YEAR($A416)),
    1
  ),
""""))"),2.39999999999999)</f>
        <v>2.3999999999999901</v>
      </c>
      <c r="L416" s="6">
        <v>105</v>
      </c>
      <c r="M416" s="7">
        <v>84.7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8">
        <v>44913</v>
      </c>
      <c r="B417" s="9">
        <v>23560</v>
      </c>
      <c r="C417" s="2">
        <f ca="1">IFERROR(__xludf.DUMMYFUNCTION("IF($A417="""","""", IFERROR(
  INDEX(
    FILTER(CPI_VN!$C$2:$C$82, MONTH(CPI_VN!$A$2:$A$82)=MONTH($A417), YEAR(CPI_VN!$A$2:$A$82)=YEAR($A417)),
    1
  ),
""""))"),4.55)</f>
        <v>4.55</v>
      </c>
      <c r="D417" s="2">
        <f ca="1">IFERROR(__xludf.DUMMYFUNCTION("IF($A417="""","""", IFERROR(
  INDEX(
    FILTER(CPI_US!$D$2:$D$130, MONTH(CPI_US!$A$2:$A$130)=MONTH($A417), YEAR(CPI_US!$A$2:$A$130)=YEAR($A417)),
    1
  ),
""""))"),7.1)</f>
        <v>7.1</v>
      </c>
      <c r="E417" s="2">
        <v>5.0919999999999996</v>
      </c>
      <c r="F417" s="2">
        <v>4.33</v>
      </c>
      <c r="G417" s="2">
        <v>1051</v>
      </c>
      <c r="H417" s="2">
        <v>3844.82</v>
      </c>
      <c r="I417" s="2">
        <v>22.4</v>
      </c>
      <c r="J417" s="2">
        <v>69</v>
      </c>
      <c r="K417" s="2">
        <f ca="1">IFERROR(__xludf.DUMMYFUNCTION("IF($A417="""","""", IFERROR(
  INDEX(
    FILTER(IMEX_VN!$B$2:$B$130, MONTH(IMEX_VN!$A$2:$A$130)=MONTH($A417), YEAR(IMEX_VN!$A$2:$A$130)=YEAR($A417)),
    1
  ),
""""))"),2.39999999999999)</f>
        <v>2.3999999999999901</v>
      </c>
      <c r="L417" s="6">
        <v>104</v>
      </c>
      <c r="M417" s="7">
        <v>84.7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8">
        <v>44920</v>
      </c>
      <c r="B418" s="9">
        <v>23610</v>
      </c>
      <c r="C418" s="2">
        <f ca="1">IFERROR(__xludf.DUMMYFUNCTION("IF($A418="""","""", IFERROR(
  INDEX(
    FILTER(CPI_VN!$C$2:$C$82, MONTH(CPI_VN!$A$2:$A$82)=MONTH($A418), YEAR(CPI_VN!$A$2:$A$82)=YEAR($A418)),
    1
  ),
""""))"),4.55)</f>
        <v>4.55</v>
      </c>
      <c r="D418" s="2">
        <f ca="1">IFERROR(__xludf.DUMMYFUNCTION("IF($A418="""","""", IFERROR(
  INDEX(
    FILTER(CPI_US!$D$2:$D$130, MONTH(CPI_US!$A$2:$A$130)=MONTH($A418), YEAR(CPI_US!$A$2:$A$130)=YEAR($A418)),
    1
  ),
""""))"),7.1)</f>
        <v>7.1</v>
      </c>
      <c r="E418" s="2">
        <v>5.0369999999999999</v>
      </c>
      <c r="F418" s="2">
        <v>4.33</v>
      </c>
      <c r="G418" s="2">
        <v>1060</v>
      </c>
      <c r="H418" s="2">
        <v>3839.5</v>
      </c>
      <c r="I418" s="2">
        <v>22.4</v>
      </c>
      <c r="J418" s="2">
        <v>69</v>
      </c>
      <c r="K418" s="2">
        <f ca="1">IFERROR(__xludf.DUMMYFUNCTION("IF($A418="""","""", IFERROR(
  INDEX(
    FILTER(IMEX_VN!$B$2:$B$130, MONTH(IMEX_VN!$A$2:$A$130)=MONTH($A418), YEAR(IMEX_VN!$A$2:$A$130)=YEAR($A418)),
    1
  ),
""""))"),2.39999999999999)</f>
        <v>2.3999999999999901</v>
      </c>
      <c r="L418" s="6">
        <v>104</v>
      </c>
      <c r="M418" s="7">
        <v>84.7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8">
        <v>44927</v>
      </c>
      <c r="B419" s="9">
        <v>23460</v>
      </c>
      <c r="C419" s="2">
        <f ca="1">IFERROR(__xludf.DUMMYFUNCTION("IF($A419="""","""", IFERROR(
  INDEX(
    FILTER(CPI_VN!$C$2:$C$82, MONTH(CPI_VN!$A$2:$A$82)=MONTH($A419), YEAR(CPI_VN!$A$2:$A$82)=YEAR($A419)),
    1
  ),
""""))"),4.89)</f>
        <v>4.8899999999999997</v>
      </c>
      <c r="D419" s="2">
        <f ca="1">IFERROR(__xludf.DUMMYFUNCTION("IF($A419="""","""", IFERROR(
  INDEX(
    FILTER(CPI_US!$D$2:$D$130, MONTH(CPI_US!$A$2:$A$130)=MONTH($A419), YEAR(CPI_US!$A$2:$A$130)=YEAR($A419)),
    1
  ),
""""))"),6.5)</f>
        <v>6.5</v>
      </c>
      <c r="E419" s="2">
        <v>4.9820000000000002</v>
      </c>
      <c r="F419" s="2">
        <v>4.33</v>
      </c>
      <c r="G419" s="2">
        <v>1108</v>
      </c>
      <c r="H419" s="2">
        <v>3895.08</v>
      </c>
      <c r="I419" s="2">
        <v>1.35</v>
      </c>
      <c r="J419" s="2">
        <v>69.400000000000006</v>
      </c>
      <c r="K419" s="2">
        <f ca="1">IFERROR(__xludf.DUMMYFUNCTION("IF($A419="""","""", IFERROR(
  INDEX(
    FILTER(IMEX_VN!$B$2:$B$130, MONTH(IMEX_VN!$A$2:$A$130)=MONTH($A419), YEAR(IMEX_VN!$A$2:$A$130)=YEAR($A419)),
    1
  ),
""""))"),0.200000000000002)</f>
        <v>0.20000000000000201</v>
      </c>
      <c r="L419" s="6">
        <v>104</v>
      </c>
      <c r="M419" s="7">
        <v>86.4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8">
        <v>44934</v>
      </c>
      <c r="B420" s="9">
        <v>23435</v>
      </c>
      <c r="C420" s="2">
        <f ca="1">IFERROR(__xludf.DUMMYFUNCTION("IF($A420="""","""", IFERROR(
  INDEX(
    FILTER(CPI_VN!$C$2:$C$82, MONTH(CPI_VN!$A$2:$A$82)=MONTH($A420), YEAR(CPI_VN!$A$2:$A$82)=YEAR($A420)),
    1
  ),
""""))"),4.89)</f>
        <v>4.8899999999999997</v>
      </c>
      <c r="D420" s="2">
        <f ca="1">IFERROR(__xludf.DUMMYFUNCTION("IF($A420="""","""", IFERROR(
  INDEX(
    FILTER(CPI_US!$D$2:$D$130, MONTH(CPI_US!$A$2:$A$130)=MONTH($A420), YEAR(CPI_US!$A$2:$A$130)=YEAR($A420)),
    1
  ),
""""))"),6.5)</f>
        <v>6.5</v>
      </c>
      <c r="E420" s="2">
        <v>4.8220000000000001</v>
      </c>
      <c r="F420" s="2">
        <v>4.33</v>
      </c>
      <c r="G420" s="2">
        <v>1117</v>
      </c>
      <c r="H420" s="2">
        <v>3999.09</v>
      </c>
      <c r="I420" s="2">
        <v>1.35</v>
      </c>
      <c r="J420" s="2">
        <v>69.400000000000006</v>
      </c>
      <c r="K420" s="2">
        <f ca="1">IFERROR(__xludf.DUMMYFUNCTION("IF($A420="""","""", IFERROR(
  INDEX(
    FILTER(IMEX_VN!$B$2:$B$130, MONTH(IMEX_VN!$A$2:$A$130)=MONTH($A420), YEAR(IMEX_VN!$A$2:$A$130)=YEAR($A420)),
    1
  ),
""""))"),0.200000000000002)</f>
        <v>0.20000000000000201</v>
      </c>
      <c r="L420" s="6">
        <v>102</v>
      </c>
      <c r="M420" s="7">
        <v>86.4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8">
        <v>44941</v>
      </c>
      <c r="B421" s="9">
        <v>23440</v>
      </c>
      <c r="C421" s="2">
        <f ca="1">IFERROR(__xludf.DUMMYFUNCTION("IF($A421="""","""", IFERROR(
  INDEX(
    FILTER(CPI_VN!$C$2:$C$82, MONTH(CPI_VN!$A$2:$A$82)=MONTH($A421), YEAR(CPI_VN!$A$2:$A$82)=YEAR($A421)),
    1
  ),
""""))"),4.89)</f>
        <v>4.8899999999999997</v>
      </c>
      <c r="D421" s="2">
        <f ca="1">IFERROR(__xludf.DUMMYFUNCTION("IF($A421="""","""", IFERROR(
  INDEX(
    FILTER(CPI_US!$D$2:$D$130, MONTH(CPI_US!$A$2:$A$130)=MONTH($A421), YEAR(CPI_US!$A$2:$A$130)=YEAR($A421)),
    1
  ),
""""))"),6.5)</f>
        <v>6.5</v>
      </c>
      <c r="E421" s="2">
        <v>4.79</v>
      </c>
      <c r="F421" s="2">
        <v>4.33</v>
      </c>
      <c r="G421" s="2">
        <v>1077</v>
      </c>
      <c r="H421" s="2">
        <v>3972.61</v>
      </c>
      <c r="I421" s="2">
        <v>1.35</v>
      </c>
      <c r="J421" s="2">
        <v>69.400000000000006</v>
      </c>
      <c r="K421" s="2">
        <f ca="1">IFERROR(__xludf.DUMMYFUNCTION("IF($A421="""","""", IFERROR(
  INDEX(
    FILTER(IMEX_VN!$B$2:$B$130, MONTH(IMEX_VN!$A$2:$A$130)=MONTH($A421), YEAR(IMEX_VN!$A$2:$A$130)=YEAR($A421)),
    1
  ),
""""))"),0.200000000000002)</f>
        <v>0.20000000000000201</v>
      </c>
      <c r="L421" s="6">
        <v>102</v>
      </c>
      <c r="M421" s="7">
        <v>86.4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8">
        <v>44948</v>
      </c>
      <c r="B422" s="9">
        <v>23460</v>
      </c>
      <c r="C422" s="2">
        <f ca="1">IFERROR(__xludf.DUMMYFUNCTION("IF($A422="""","""", IFERROR(
  INDEX(
    FILTER(CPI_VN!$C$2:$C$82, MONTH(CPI_VN!$A$2:$A$82)=MONTH($A422), YEAR(CPI_VN!$A$2:$A$82)=YEAR($A422)),
    1
  ),
""""))"),4.89)</f>
        <v>4.8899999999999997</v>
      </c>
      <c r="D422" s="2">
        <f ca="1">IFERROR(__xludf.DUMMYFUNCTION("IF($A422="""","""", IFERROR(
  INDEX(
    FILTER(CPI_US!$D$2:$D$130, MONTH(CPI_US!$A$2:$A$130)=MONTH($A422), YEAR(CPI_US!$A$2:$A$130)=YEAR($A422)),
    1
  ),
""""))"),6.5)</f>
        <v>6.5</v>
      </c>
      <c r="E422" s="2">
        <v>4.7619999999999996</v>
      </c>
      <c r="F422" s="2">
        <v>4.33</v>
      </c>
      <c r="G422" s="2">
        <v>1055</v>
      </c>
      <c r="H422" s="2">
        <v>4070.56</v>
      </c>
      <c r="I422" s="2">
        <v>1.35</v>
      </c>
      <c r="J422" s="2">
        <v>69.400000000000006</v>
      </c>
      <c r="K422" s="2">
        <f ca="1">IFERROR(__xludf.DUMMYFUNCTION("IF($A422="""","""", IFERROR(
  INDEX(
    FILTER(IMEX_VN!$B$2:$B$130, MONTH(IMEX_VN!$A$2:$A$130)=MONTH($A422), YEAR(IMEX_VN!$A$2:$A$130)=YEAR($A422)),
    1
  ),
""""))"),0.200000000000002)</f>
        <v>0.20000000000000201</v>
      </c>
      <c r="L422" s="6">
        <v>102</v>
      </c>
      <c r="M422" s="7">
        <v>86.4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8">
        <v>44955</v>
      </c>
      <c r="B423" s="9">
        <v>23440</v>
      </c>
      <c r="C423" s="2">
        <f ca="1">IFERROR(__xludf.DUMMYFUNCTION("IF($A423="""","""", IFERROR(
  INDEX(
    FILTER(CPI_VN!$C$2:$C$82, MONTH(CPI_VN!$A$2:$A$82)=MONTH($A423), YEAR(CPI_VN!$A$2:$A$82)=YEAR($A423)),
    1
  ),
""""))"),4.89)</f>
        <v>4.8899999999999997</v>
      </c>
      <c r="D423" s="2">
        <f ca="1">IFERROR(__xludf.DUMMYFUNCTION("IF($A423="""","""", IFERROR(
  INDEX(
    FILTER(CPI_US!$D$2:$D$130, MONTH(CPI_US!$A$2:$A$130)=MONTH($A423), YEAR(CPI_US!$A$2:$A$130)=YEAR($A423)),
    1
  ),
""""))"),6.5)</f>
        <v>6.5</v>
      </c>
      <c r="E423" s="2">
        <v>4.3259999999999996</v>
      </c>
      <c r="F423" s="2">
        <v>4.33</v>
      </c>
      <c r="G423" s="2">
        <v>1059</v>
      </c>
      <c r="H423" s="2">
        <v>4136.4799999999996</v>
      </c>
      <c r="I423" s="2">
        <v>1.35</v>
      </c>
      <c r="J423" s="2">
        <v>69.400000000000006</v>
      </c>
      <c r="K423" s="2">
        <f ca="1">IFERROR(__xludf.DUMMYFUNCTION("IF($A423="""","""", IFERROR(
  INDEX(
    FILTER(IMEX_VN!$B$2:$B$130, MONTH(IMEX_VN!$A$2:$A$130)=MONTH($A423), YEAR(IMEX_VN!$A$2:$A$130)=YEAR($A423)),
    1
  ),
""""))"),0.200000000000002)</f>
        <v>0.20000000000000201</v>
      </c>
      <c r="L423" s="6">
        <v>103</v>
      </c>
      <c r="M423" s="7">
        <v>86.4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8">
        <v>44962</v>
      </c>
      <c r="B424" s="9">
        <v>23565</v>
      </c>
      <c r="C424" s="2">
        <f ca="1">IFERROR(__xludf.DUMMYFUNCTION("IF($A424="""","""", IFERROR(
  INDEX(
    FILTER(CPI_VN!$C$2:$C$82, MONTH(CPI_VN!$A$2:$A$82)=MONTH($A424), YEAR(CPI_VN!$A$2:$A$82)=YEAR($A424)),
    1
  ),
""""))"),4.31)</f>
        <v>4.3099999999999996</v>
      </c>
      <c r="D424" s="2">
        <f ca="1">IFERROR(__xludf.DUMMYFUNCTION("IF($A424="""","""", IFERROR(
  INDEX(
    FILTER(CPI_US!$D$2:$D$130, MONTH(CPI_US!$A$2:$A$130)=MONTH($A424), YEAR(CPI_US!$A$2:$A$130)=YEAR($A424)),
    1
  ),
""""))"),6.4)</f>
        <v>6.4</v>
      </c>
      <c r="E424" s="2">
        <v>4.2539999999999996</v>
      </c>
      <c r="F424" s="2">
        <v>4.58</v>
      </c>
      <c r="G424" s="2">
        <v>1039</v>
      </c>
      <c r="H424" s="2">
        <v>4090.46</v>
      </c>
      <c r="I424" s="2">
        <v>2.5499999999999998</v>
      </c>
      <c r="J424" s="2">
        <v>69.400000000000006</v>
      </c>
      <c r="K424" s="2">
        <f ca="1">IFERROR(__xludf.DUMMYFUNCTION("IF($A424="""","""", IFERROR(
  INDEX(
    FILTER(IMEX_VN!$B$2:$B$130, MONTH(IMEX_VN!$A$2:$A$130)=MONTH($A424), YEAR(IMEX_VN!$A$2:$A$130)=YEAR($A424)),
    1
  ),
""""))"),2.8)</f>
        <v>2.8</v>
      </c>
      <c r="L424" s="6">
        <v>104</v>
      </c>
      <c r="M424" s="7">
        <v>85.8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8">
        <v>44969</v>
      </c>
      <c r="B425" s="9">
        <v>23810</v>
      </c>
      <c r="C425" s="2">
        <f ca="1">IFERROR(__xludf.DUMMYFUNCTION("IF($A425="""","""", IFERROR(
  INDEX(
    FILTER(CPI_VN!$C$2:$C$82, MONTH(CPI_VN!$A$2:$A$82)=MONTH($A425), YEAR(CPI_VN!$A$2:$A$82)=YEAR($A425)),
    1
  ),
""""))"),4.31)</f>
        <v>4.3099999999999996</v>
      </c>
      <c r="D425" s="2">
        <f ca="1">IFERROR(__xludf.DUMMYFUNCTION("IF($A425="""","""", IFERROR(
  INDEX(
    FILTER(CPI_US!$D$2:$D$130, MONTH(CPI_US!$A$2:$A$130)=MONTH($A425), YEAR(CPI_US!$A$2:$A$130)=YEAR($A425)),
    1
  ),
""""))"),6.4)</f>
        <v>6.4</v>
      </c>
      <c r="E425" s="2">
        <v>4.3470000000000004</v>
      </c>
      <c r="F425" s="2">
        <v>4.58</v>
      </c>
      <c r="G425" s="2">
        <v>1024</v>
      </c>
      <c r="H425" s="2">
        <v>4079.09</v>
      </c>
      <c r="I425" s="2">
        <v>2.5499999999999998</v>
      </c>
      <c r="J425" s="2">
        <v>69.400000000000006</v>
      </c>
      <c r="K425" s="2">
        <f ca="1">IFERROR(__xludf.DUMMYFUNCTION("IF($A425="""","""", IFERROR(
  INDEX(
    FILTER(IMEX_VN!$B$2:$B$130, MONTH(IMEX_VN!$A$2:$A$130)=MONTH($A425), YEAR(IMEX_VN!$A$2:$A$130)=YEAR($A425)),
    1
  ),
""""))"),2.8)</f>
        <v>2.8</v>
      </c>
      <c r="L425" s="6">
        <v>104</v>
      </c>
      <c r="M425" s="7">
        <v>85.8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8">
        <v>44976</v>
      </c>
      <c r="B426" s="9">
        <v>23780</v>
      </c>
      <c r="C426" s="2">
        <f ca="1">IFERROR(__xludf.DUMMYFUNCTION("IF($A426="""","""", IFERROR(
  INDEX(
    FILTER(CPI_VN!$C$2:$C$82, MONTH(CPI_VN!$A$2:$A$82)=MONTH($A426), YEAR(CPI_VN!$A$2:$A$82)=YEAR($A426)),
    1
  ),
""""))"),4.31)</f>
        <v>4.3099999999999996</v>
      </c>
      <c r="D426" s="2">
        <f ca="1">IFERROR(__xludf.DUMMYFUNCTION("IF($A426="""","""", IFERROR(
  INDEX(
    FILTER(CPI_US!$D$2:$D$130, MONTH(CPI_US!$A$2:$A$130)=MONTH($A426), YEAR(CPI_US!$A$2:$A$130)=YEAR($A426)),
    1
  ),
""""))"),6.4)</f>
        <v>6.4</v>
      </c>
      <c r="E426" s="2">
        <v>4.577</v>
      </c>
      <c r="F426" s="2">
        <v>4.58</v>
      </c>
      <c r="G426" s="2">
        <v>1053</v>
      </c>
      <c r="H426" s="2">
        <v>3970.04</v>
      </c>
      <c r="I426" s="2">
        <v>2.5499999999999998</v>
      </c>
      <c r="J426" s="2">
        <v>69.400000000000006</v>
      </c>
      <c r="K426" s="2">
        <f ca="1">IFERROR(__xludf.DUMMYFUNCTION("IF($A426="""","""", IFERROR(
  INDEX(
    FILTER(IMEX_VN!$B$2:$B$130, MONTH(IMEX_VN!$A$2:$A$130)=MONTH($A426), YEAR(IMEX_VN!$A$2:$A$130)=YEAR($A426)),
    1
  ),
""""))"),2.8)</f>
        <v>2.8</v>
      </c>
      <c r="L426" s="6">
        <v>105</v>
      </c>
      <c r="M426" s="7">
        <v>85.8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8">
        <v>44983</v>
      </c>
      <c r="B427" s="9">
        <v>23710</v>
      </c>
      <c r="C427" s="2">
        <f ca="1">IFERROR(__xludf.DUMMYFUNCTION("IF($A427="""","""", IFERROR(
  INDEX(
    FILTER(CPI_VN!$C$2:$C$82, MONTH(CPI_VN!$A$2:$A$82)=MONTH($A427), YEAR(CPI_VN!$A$2:$A$82)=YEAR($A427)),
    1
  ),
""""))"),4.31)</f>
        <v>4.3099999999999996</v>
      </c>
      <c r="D427" s="2">
        <f ca="1">IFERROR(__xludf.DUMMYFUNCTION("IF($A427="""","""", IFERROR(
  INDEX(
    FILTER(CPI_US!$D$2:$D$130, MONTH(CPI_US!$A$2:$A$130)=MONTH($A427), YEAR(CPI_US!$A$2:$A$130)=YEAR($A427)),
    1
  ),
""""))"),6.4)</f>
        <v>6.4</v>
      </c>
      <c r="E427" s="2">
        <v>4.5949999999999998</v>
      </c>
      <c r="F427" s="2">
        <v>4.58</v>
      </c>
      <c r="G427" s="2">
        <v>1045</v>
      </c>
      <c r="H427" s="2">
        <v>4045.64</v>
      </c>
      <c r="I427" s="2">
        <v>2.5499999999999998</v>
      </c>
      <c r="J427" s="2">
        <v>69.400000000000006</v>
      </c>
      <c r="K427" s="2">
        <f ca="1">IFERROR(__xludf.DUMMYFUNCTION("IF($A427="""","""", IFERROR(
  INDEX(
    FILTER(IMEX_VN!$B$2:$B$130, MONTH(IMEX_VN!$A$2:$A$130)=MONTH($A427), YEAR(IMEX_VN!$A$2:$A$130)=YEAR($A427)),
    1
  ),
""""))"),2.8)</f>
        <v>2.8</v>
      </c>
      <c r="L427" s="6">
        <v>105</v>
      </c>
      <c r="M427" s="7">
        <v>85.8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8">
        <v>44990</v>
      </c>
      <c r="B428" s="9">
        <v>23660</v>
      </c>
      <c r="C428" s="2">
        <f ca="1">IFERROR(__xludf.DUMMYFUNCTION("IF($A428="""","""", IFERROR(
  INDEX(
    FILTER(CPI_VN!$C$2:$C$82, MONTH(CPI_VN!$A$2:$A$82)=MONTH($A428), YEAR(CPI_VN!$A$2:$A$82)=YEAR($A428)),
    1
  ),
""""))"),3.35)</f>
        <v>3.35</v>
      </c>
      <c r="D428" s="2">
        <f ca="1">IFERROR(__xludf.DUMMYFUNCTION("IF($A428="""","""", IFERROR(
  INDEX(
    FILTER(CPI_US!$D$2:$D$130, MONTH(CPI_US!$A$2:$A$130)=MONTH($A428), YEAR(CPI_US!$A$2:$A$130)=YEAR($A428)),
    1
  ),
""""))"),6)</f>
        <v>6</v>
      </c>
      <c r="E428" s="2">
        <v>4.4649999999999999</v>
      </c>
      <c r="F428" s="2">
        <v>4.57</v>
      </c>
      <c r="G428" s="2">
        <v>1046</v>
      </c>
      <c r="H428" s="2">
        <v>3861.59</v>
      </c>
      <c r="I428" s="2">
        <v>4.32</v>
      </c>
      <c r="J428" s="2">
        <v>69.400000000000006</v>
      </c>
      <c r="K428" s="2">
        <f ca="1">IFERROR(__xludf.DUMMYFUNCTION("IF($A428="""","""", IFERROR(
  INDEX(
    FILTER(IMEX_VN!$B$2:$B$130, MONTH(IMEX_VN!$A$2:$A$130)=MONTH($A428), YEAR(IMEX_VN!$A$2:$A$130)=YEAR($A428)),
    1
  ),
""""))"),1.39999999999999)</f>
        <v>1.3999999999999899</v>
      </c>
      <c r="L428" s="6">
        <v>105</v>
      </c>
      <c r="M428" s="7">
        <v>86.3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8">
        <v>44997</v>
      </c>
      <c r="B429" s="9">
        <v>23570</v>
      </c>
      <c r="C429" s="2">
        <f ca="1">IFERROR(__xludf.DUMMYFUNCTION("IF($A429="""","""", IFERROR(
  INDEX(
    FILTER(CPI_VN!$C$2:$C$82, MONTH(CPI_VN!$A$2:$A$82)=MONTH($A429), YEAR(CPI_VN!$A$2:$A$82)=YEAR($A429)),
    1
  ),
""""))"),3.35)</f>
        <v>3.35</v>
      </c>
      <c r="D429" s="2">
        <f ca="1">IFERROR(__xludf.DUMMYFUNCTION("IF($A429="""","""", IFERROR(
  INDEX(
    FILTER(CPI_US!$D$2:$D$130, MONTH(CPI_US!$A$2:$A$130)=MONTH($A429), YEAR(CPI_US!$A$2:$A$130)=YEAR($A429)),
    1
  ),
""""))"),6)</f>
        <v>6</v>
      </c>
      <c r="E429" s="2">
        <v>4.0979999999999999</v>
      </c>
      <c r="F429" s="2">
        <v>4.57</v>
      </c>
      <c r="G429" s="2">
        <v>1064</v>
      </c>
      <c r="H429" s="2">
        <v>3916.64</v>
      </c>
      <c r="I429" s="2">
        <v>4.32</v>
      </c>
      <c r="J429" s="2">
        <v>69.400000000000006</v>
      </c>
      <c r="K429" s="2">
        <f ca="1">IFERROR(__xludf.DUMMYFUNCTION("IF($A429="""","""", IFERROR(
  INDEX(
    FILTER(IMEX_VN!$B$2:$B$130, MONTH(IMEX_VN!$A$2:$A$130)=MONTH($A429), YEAR(IMEX_VN!$A$2:$A$130)=YEAR($A429)),
    1
  ),
""""))"),1.39999999999999)</f>
        <v>1.3999999999999899</v>
      </c>
      <c r="L429" s="6">
        <v>104</v>
      </c>
      <c r="M429" s="7">
        <v>86.3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8">
        <v>45004</v>
      </c>
      <c r="B430" s="9">
        <v>23510</v>
      </c>
      <c r="C430" s="2">
        <f ca="1">IFERROR(__xludf.DUMMYFUNCTION("IF($A430="""","""", IFERROR(
  INDEX(
    FILTER(CPI_VN!$C$2:$C$82, MONTH(CPI_VN!$A$2:$A$82)=MONTH($A430), YEAR(CPI_VN!$A$2:$A$82)=YEAR($A430)),
    1
  ),
""""))"),3.35)</f>
        <v>3.35</v>
      </c>
      <c r="D430" s="2">
        <f ca="1">IFERROR(__xludf.DUMMYFUNCTION("IF($A430="""","""", IFERROR(
  INDEX(
    FILTER(CPI_US!$D$2:$D$130, MONTH(CPI_US!$A$2:$A$130)=MONTH($A430), YEAR(CPI_US!$A$2:$A$130)=YEAR($A430)),
    1
  ),
""""))"),6)</f>
        <v>6</v>
      </c>
      <c r="E430" s="2">
        <v>3.7050000000000001</v>
      </c>
      <c r="F430" s="2">
        <v>4.58</v>
      </c>
      <c r="G430" s="2">
        <v>1069</v>
      </c>
      <c r="H430" s="2">
        <v>3970.99</v>
      </c>
      <c r="I430" s="2">
        <v>4.32</v>
      </c>
      <c r="J430" s="2">
        <v>69.400000000000006</v>
      </c>
      <c r="K430" s="2">
        <f ca="1">IFERROR(__xludf.DUMMYFUNCTION("IF($A430="""","""", IFERROR(
  INDEX(
    FILTER(IMEX_VN!$B$2:$B$130, MONTH(IMEX_VN!$A$2:$A$130)=MONTH($A430), YEAR(IMEX_VN!$A$2:$A$130)=YEAR($A430)),
    1
  ),
""""))"),1.39999999999999)</f>
        <v>1.3999999999999899</v>
      </c>
      <c r="L430" s="6">
        <v>103</v>
      </c>
      <c r="M430" s="7">
        <v>86.3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8">
        <v>45011</v>
      </c>
      <c r="B431" s="9">
        <v>23450</v>
      </c>
      <c r="C431" s="2">
        <f ca="1">IFERROR(__xludf.DUMMYFUNCTION("IF($A431="""","""", IFERROR(
  INDEX(
    FILTER(CPI_VN!$C$2:$C$82, MONTH(CPI_VN!$A$2:$A$82)=MONTH($A431), YEAR(CPI_VN!$A$2:$A$82)=YEAR($A431)),
    1
  ),
""""))"),3.35)</f>
        <v>3.35</v>
      </c>
      <c r="D431" s="2">
        <f ca="1">IFERROR(__xludf.DUMMYFUNCTION("IF($A431="""","""", IFERROR(
  INDEX(
    FILTER(CPI_US!$D$2:$D$130, MONTH(CPI_US!$A$2:$A$130)=MONTH($A431), YEAR(CPI_US!$A$2:$A$130)=YEAR($A431)),
    1
  ),
""""))"),6)</f>
        <v>6</v>
      </c>
      <c r="E431" s="2">
        <v>3.4689999999999999</v>
      </c>
      <c r="F431" s="2">
        <v>4.83</v>
      </c>
      <c r="G431" s="2">
        <v>1052</v>
      </c>
      <c r="H431" s="2">
        <v>4109.3100000000004</v>
      </c>
      <c r="I431" s="2">
        <v>4.32</v>
      </c>
      <c r="J431" s="2">
        <v>69.400000000000006</v>
      </c>
      <c r="K431" s="2">
        <f ca="1">IFERROR(__xludf.DUMMYFUNCTION("IF($A431="""","""", IFERROR(
  INDEX(
    FILTER(IMEX_VN!$B$2:$B$130, MONTH(IMEX_VN!$A$2:$A$130)=MONTH($A431), YEAR(IMEX_VN!$A$2:$A$130)=YEAR($A431)),
    1
  ),
""""))"),1.39999999999999)</f>
        <v>1.3999999999999899</v>
      </c>
      <c r="L431" s="6">
        <v>103</v>
      </c>
      <c r="M431" s="7">
        <v>86.3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8">
        <v>45018</v>
      </c>
      <c r="B432" s="9">
        <v>23442</v>
      </c>
      <c r="C432" s="2">
        <f ca="1">IFERROR(__xludf.DUMMYFUNCTION("IF($A432="""","""", IFERROR(
  INDEX(
    FILTER(CPI_VN!$C$2:$C$82, MONTH(CPI_VN!$A$2:$A$82)=MONTH($A432), YEAR(CPI_VN!$A$2:$A$82)=YEAR($A432)),
    1
  ),
""""))"),2.81)</f>
        <v>2.81</v>
      </c>
      <c r="D432" s="2">
        <f ca="1">IFERROR(__xludf.DUMMYFUNCTION("IF($A432="""","""", IFERROR(
  INDEX(
    FILTER(CPI_US!$D$2:$D$130, MONTH(CPI_US!$A$2:$A$130)=MONTH($A432), YEAR(CPI_US!$A$2:$A$130)=YEAR($A432)),
    1
  ),
""""))"),5)</f>
        <v>5</v>
      </c>
      <c r="E432" s="2">
        <v>3.5470000000000002</v>
      </c>
      <c r="F432" s="2">
        <v>4.83</v>
      </c>
      <c r="G432" s="2">
        <v>1042</v>
      </c>
      <c r="H432" s="2">
        <v>4105.0200000000004</v>
      </c>
      <c r="I432" s="2">
        <v>5.85</v>
      </c>
      <c r="J432" s="2">
        <v>63.8</v>
      </c>
      <c r="K432" s="2">
        <f ca="1">IFERROR(__xludf.DUMMYFUNCTION("IF($A432="""","""", IFERROR(
  INDEX(
    FILTER(IMEX_VN!$B$2:$B$130, MONTH(IMEX_VN!$A$2:$A$130)=MONTH($A432), YEAR(IMEX_VN!$A$2:$A$130)=YEAR($A432)),
    1
  ),
""""))"),2.69999999999999)</f>
        <v>2.69999999999999</v>
      </c>
      <c r="L432" s="6">
        <v>102</v>
      </c>
      <c r="M432" s="7">
        <v>88.1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8">
        <v>45025</v>
      </c>
      <c r="B433" s="9">
        <v>23440</v>
      </c>
      <c r="C433" s="2">
        <f ca="1">IFERROR(__xludf.DUMMYFUNCTION("IF($A433="""","""", IFERROR(
  INDEX(
    FILTER(CPI_VN!$C$2:$C$82, MONTH(CPI_VN!$A$2:$A$82)=MONTH($A433), YEAR(CPI_VN!$A$2:$A$82)=YEAR($A433)),
    1
  ),
""""))"),2.81)</f>
        <v>2.81</v>
      </c>
      <c r="D433" s="2">
        <f ca="1">IFERROR(__xludf.DUMMYFUNCTION("IF($A433="""","""", IFERROR(
  INDEX(
    FILTER(CPI_US!$D$2:$D$130, MONTH(CPI_US!$A$2:$A$130)=MONTH($A433), YEAR(CPI_US!$A$2:$A$130)=YEAR($A433)),
    1
  ),
""""))"),5)</f>
        <v>5</v>
      </c>
      <c r="E433" s="2">
        <v>3.47</v>
      </c>
      <c r="F433" s="2">
        <v>4.83</v>
      </c>
      <c r="G433" s="2">
        <v>1049</v>
      </c>
      <c r="H433" s="2">
        <v>4137.6400000000003</v>
      </c>
      <c r="I433" s="2">
        <v>5.85</v>
      </c>
      <c r="J433" s="2">
        <v>63.8</v>
      </c>
      <c r="K433" s="2">
        <f ca="1">IFERROR(__xludf.DUMMYFUNCTION("IF($A433="""","""", IFERROR(
  INDEX(
    FILTER(IMEX_VN!$B$2:$B$130, MONTH(IMEX_VN!$A$2:$A$130)=MONTH($A433), YEAR(IMEX_VN!$A$2:$A$130)=YEAR($A433)),
    1
  ),
""""))"),2.69999999999999)</f>
        <v>2.69999999999999</v>
      </c>
      <c r="L433" s="6">
        <v>102</v>
      </c>
      <c r="M433" s="7">
        <v>88.1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8">
        <v>45032</v>
      </c>
      <c r="B434" s="9">
        <v>23485</v>
      </c>
      <c r="C434" s="2">
        <f ca="1">IFERROR(__xludf.DUMMYFUNCTION("IF($A434="""","""", IFERROR(
  INDEX(
    FILTER(CPI_VN!$C$2:$C$82, MONTH(CPI_VN!$A$2:$A$82)=MONTH($A434), YEAR(CPI_VN!$A$2:$A$82)=YEAR($A434)),
    1
  ),
""""))"),2.81)</f>
        <v>2.81</v>
      </c>
      <c r="D434" s="2">
        <f ca="1">IFERROR(__xludf.DUMMYFUNCTION("IF($A434="""","""", IFERROR(
  INDEX(
    FILTER(CPI_US!$D$2:$D$130, MONTH(CPI_US!$A$2:$A$130)=MONTH($A434), YEAR(CPI_US!$A$2:$A$130)=YEAR($A434)),
    1
  ),
""""))"),5)</f>
        <v>5</v>
      </c>
      <c r="E434" s="2">
        <v>3.419</v>
      </c>
      <c r="F434" s="2">
        <v>4.83</v>
      </c>
      <c r="G434" s="2">
        <v>1040</v>
      </c>
      <c r="H434" s="2">
        <v>4133.5200000000004</v>
      </c>
      <c r="I434" s="2">
        <v>5.85</v>
      </c>
      <c r="J434" s="2">
        <v>63.8</v>
      </c>
      <c r="K434" s="2">
        <f ca="1">IFERROR(__xludf.DUMMYFUNCTION("IF($A434="""","""", IFERROR(
  INDEX(
    FILTER(IMEX_VN!$B$2:$B$130, MONTH(IMEX_VN!$A$2:$A$130)=MONTH($A434), YEAR(IMEX_VN!$A$2:$A$130)=YEAR($A434)),
    1
  ),
""""))"),2.69999999999999)</f>
        <v>2.69999999999999</v>
      </c>
      <c r="L434" s="6">
        <v>102</v>
      </c>
      <c r="M434" s="7">
        <v>88.1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8">
        <v>45039</v>
      </c>
      <c r="B435" s="9">
        <v>23450</v>
      </c>
      <c r="C435" s="2">
        <f ca="1">IFERROR(__xludf.DUMMYFUNCTION("IF($A435="""","""", IFERROR(
  INDEX(
    FILTER(CPI_VN!$C$2:$C$82, MONTH(CPI_VN!$A$2:$A$82)=MONTH($A435), YEAR(CPI_VN!$A$2:$A$82)=YEAR($A435)),
    1
  ),
""""))"),2.81)</f>
        <v>2.81</v>
      </c>
      <c r="D435" s="2">
        <f ca="1">IFERROR(__xludf.DUMMYFUNCTION("IF($A435="""","""", IFERROR(
  INDEX(
    FILTER(CPI_US!$D$2:$D$130, MONTH(CPI_US!$A$2:$A$130)=MONTH($A435), YEAR(CPI_US!$A$2:$A$130)=YEAR($A435)),
    1
  ),
""""))"),5)</f>
        <v>5</v>
      </c>
      <c r="E435" s="2">
        <v>3.363</v>
      </c>
      <c r="F435" s="2">
        <v>4.83</v>
      </c>
      <c r="G435" s="2">
        <v>1066</v>
      </c>
      <c r="H435" s="2">
        <v>4169.4799999999996</v>
      </c>
      <c r="I435" s="2">
        <v>5.85</v>
      </c>
      <c r="J435" s="2">
        <v>63.8</v>
      </c>
      <c r="K435" s="2">
        <f ca="1">IFERROR(__xludf.DUMMYFUNCTION("IF($A435="""","""", IFERROR(
  INDEX(
    FILTER(IMEX_VN!$B$2:$B$130, MONTH(IMEX_VN!$A$2:$A$130)=MONTH($A435), YEAR(IMEX_VN!$A$2:$A$130)=YEAR($A435)),
    1
  ),
""""))"),2.69999999999999)</f>
        <v>2.69999999999999</v>
      </c>
      <c r="L435" s="6">
        <v>102</v>
      </c>
      <c r="M435" s="7">
        <v>88.1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8">
        <v>45046</v>
      </c>
      <c r="B436" s="9">
        <v>23440</v>
      </c>
      <c r="C436" s="2">
        <f ca="1">IFERROR(__xludf.DUMMYFUNCTION("IF($A436="""","""", IFERROR(
  INDEX(
    FILTER(CPI_VN!$C$2:$C$82, MONTH(CPI_VN!$A$2:$A$82)=MONTH($A436), YEAR(CPI_VN!$A$2:$A$82)=YEAR($A436)),
    1
  ),
""""))"),2.81)</f>
        <v>2.81</v>
      </c>
      <c r="D436" s="2">
        <f ca="1">IFERROR(__xludf.DUMMYFUNCTION("IF($A436="""","""", IFERROR(
  INDEX(
    FILTER(CPI_US!$D$2:$D$130, MONTH(CPI_US!$A$2:$A$130)=MONTH($A436), YEAR(CPI_US!$A$2:$A$130)=YEAR($A436)),
    1
  ),
""""))"),5)</f>
        <v>5</v>
      </c>
      <c r="E436" s="2">
        <v>3.266</v>
      </c>
      <c r="F436" s="2">
        <v>4.83</v>
      </c>
      <c r="G436" s="2">
        <v>1067</v>
      </c>
      <c r="H436" s="2">
        <v>4136.25</v>
      </c>
      <c r="I436" s="2">
        <v>5.85</v>
      </c>
      <c r="J436" s="2">
        <v>63.8</v>
      </c>
      <c r="K436" s="2">
        <f ca="1">IFERROR(__xludf.DUMMYFUNCTION("IF($A436="""","""", IFERROR(
  INDEX(
    FILTER(IMEX_VN!$B$2:$B$130, MONTH(IMEX_VN!$A$2:$A$130)=MONTH($A436), YEAR(IMEX_VN!$A$2:$A$130)=YEAR($A436)),
    1
  ),
""""))"),2.69999999999999)</f>
        <v>2.69999999999999</v>
      </c>
      <c r="L436" s="6">
        <v>101</v>
      </c>
      <c r="M436" s="7">
        <v>88.1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8">
        <v>45053</v>
      </c>
      <c r="B437" s="9">
        <v>23450</v>
      </c>
      <c r="C437" s="2">
        <f ca="1">IFERROR(__xludf.DUMMYFUNCTION("IF($A437="""","""", IFERROR(
  INDEX(
    FILTER(CPI_VN!$C$2:$C$82, MONTH(CPI_VN!$A$2:$A$82)=MONTH($A437), YEAR(CPI_VN!$A$2:$A$82)=YEAR($A437)),
    1
  ),
""""))"),2.43)</f>
        <v>2.4300000000000002</v>
      </c>
      <c r="D437" s="2">
        <f ca="1">IFERROR(__xludf.DUMMYFUNCTION("IF($A437="""","""", IFERROR(
  INDEX(
    FILTER(CPI_US!$D$2:$D$130, MONTH(CPI_US!$A$2:$A$130)=MONTH($A437), YEAR(CPI_US!$A$2:$A$130)=YEAR($A437)),
    1
  ),
""""))"),4.9)</f>
        <v>4.9000000000000004</v>
      </c>
      <c r="E437" s="2">
        <v>3.1179999999999999</v>
      </c>
      <c r="F437" s="2">
        <v>5.08</v>
      </c>
      <c r="G437" s="2">
        <v>1063</v>
      </c>
      <c r="H437" s="2">
        <v>4124.08</v>
      </c>
      <c r="I437" s="2">
        <v>7.56</v>
      </c>
      <c r="J437" s="2">
        <v>63.8</v>
      </c>
      <c r="K437" s="2">
        <f ca="1">IFERROR(__xludf.DUMMYFUNCTION("IF($A437="""","""", IFERROR(
  INDEX(
    FILTER(IMEX_VN!$B$2:$B$130, MONTH(IMEX_VN!$A$2:$A$130)=MONTH($A437), YEAR(IMEX_VN!$A$2:$A$130)=YEAR($A437)),
    1
  ),
""""))"),1.19999999999999)</f>
        <v>1.19999999999999</v>
      </c>
      <c r="L437" s="6">
        <v>103</v>
      </c>
      <c r="M437" s="7">
        <v>87.7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8">
        <v>45060</v>
      </c>
      <c r="B438" s="9">
        <v>23460</v>
      </c>
      <c r="C438" s="2">
        <f ca="1">IFERROR(__xludf.DUMMYFUNCTION("IF($A438="""","""", IFERROR(
  INDEX(
    FILTER(CPI_VN!$C$2:$C$82, MONTH(CPI_VN!$A$2:$A$82)=MONTH($A438), YEAR(CPI_VN!$A$2:$A$82)=YEAR($A438)),
    1
  ),
""""))"),2.43)</f>
        <v>2.4300000000000002</v>
      </c>
      <c r="D438" s="2">
        <f ca="1">IFERROR(__xludf.DUMMYFUNCTION("IF($A438="""","""", IFERROR(
  INDEX(
    FILTER(CPI_US!$D$2:$D$130, MONTH(CPI_US!$A$2:$A$130)=MONTH($A438), YEAR(CPI_US!$A$2:$A$130)=YEAR($A438)),
    1
  ),
""""))"),4.9)</f>
        <v>4.9000000000000004</v>
      </c>
      <c r="E438" s="2">
        <v>3.0960000000000001</v>
      </c>
      <c r="F438" s="2">
        <v>5.08</v>
      </c>
      <c r="G438" s="2">
        <v>1090</v>
      </c>
      <c r="H438" s="2">
        <v>4191.9799999999996</v>
      </c>
      <c r="I438" s="2">
        <v>7.56</v>
      </c>
      <c r="J438" s="2">
        <v>63.8</v>
      </c>
      <c r="K438" s="2">
        <f ca="1">IFERROR(__xludf.DUMMYFUNCTION("IF($A438="""","""", IFERROR(
  INDEX(
    FILTER(IMEX_VN!$B$2:$B$130, MONTH(IMEX_VN!$A$2:$A$130)=MONTH($A438), YEAR(IMEX_VN!$A$2:$A$130)=YEAR($A438)),
    1
  ),
""""))"),1.19999999999999)</f>
        <v>1.19999999999999</v>
      </c>
      <c r="L438" s="6">
        <v>103</v>
      </c>
      <c r="M438" s="7">
        <v>87.7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8">
        <v>45067</v>
      </c>
      <c r="B439" s="9">
        <v>23475</v>
      </c>
      <c r="C439" s="2">
        <f ca="1">IFERROR(__xludf.DUMMYFUNCTION("IF($A439="""","""", IFERROR(
  INDEX(
    FILTER(CPI_VN!$C$2:$C$82, MONTH(CPI_VN!$A$2:$A$82)=MONTH($A439), YEAR(CPI_VN!$A$2:$A$82)=YEAR($A439)),
    1
  ),
""""))"),2.43)</f>
        <v>2.4300000000000002</v>
      </c>
      <c r="D439" s="2">
        <f ca="1">IFERROR(__xludf.DUMMYFUNCTION("IF($A439="""","""", IFERROR(
  INDEX(
    FILTER(CPI_US!$D$2:$D$130, MONTH(CPI_US!$A$2:$A$130)=MONTH($A439), YEAR(CPI_US!$A$2:$A$130)=YEAR($A439)),
    1
  ),
""""))"),4.9)</f>
        <v>4.9000000000000004</v>
      </c>
      <c r="E439" s="2">
        <v>3.3079999999999998</v>
      </c>
      <c r="F439" s="2">
        <v>5.08</v>
      </c>
      <c r="G439" s="2">
        <v>1107</v>
      </c>
      <c r="H439" s="2">
        <v>4205.45</v>
      </c>
      <c r="I439" s="2">
        <v>7.56</v>
      </c>
      <c r="J439" s="2">
        <v>63.8</v>
      </c>
      <c r="K439" s="2">
        <f ca="1">IFERROR(__xludf.DUMMYFUNCTION("IF($A439="""","""", IFERROR(
  INDEX(
    FILTER(IMEX_VN!$B$2:$B$130, MONTH(IMEX_VN!$A$2:$A$130)=MONTH($A439), YEAR(IMEX_VN!$A$2:$A$130)=YEAR($A439)),
    1
  ),
""""))"),1.19999999999999)</f>
        <v>1.19999999999999</v>
      </c>
      <c r="L439" s="6">
        <v>104</v>
      </c>
      <c r="M439" s="7">
        <v>87.7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8">
        <v>45074</v>
      </c>
      <c r="B440" s="9">
        <v>23475</v>
      </c>
      <c r="C440" s="2">
        <f ca="1">IFERROR(__xludf.DUMMYFUNCTION("IF($A440="""","""", IFERROR(
  INDEX(
    FILTER(CPI_VN!$C$2:$C$82, MONTH(CPI_VN!$A$2:$A$82)=MONTH($A440), YEAR(CPI_VN!$A$2:$A$82)=YEAR($A440)),
    1
  ),
""""))"),2.43)</f>
        <v>2.4300000000000002</v>
      </c>
      <c r="D440" s="2">
        <f ca="1">IFERROR(__xludf.DUMMYFUNCTION("IF($A440="""","""", IFERROR(
  INDEX(
    FILTER(CPI_US!$D$2:$D$130, MONTH(CPI_US!$A$2:$A$130)=MONTH($A440), YEAR(CPI_US!$A$2:$A$130)=YEAR($A440)),
    1
  ),
""""))"),4.9)</f>
        <v>4.9000000000000004</v>
      </c>
      <c r="E440" s="2">
        <v>3.181</v>
      </c>
      <c r="F440" s="2">
        <v>5.08</v>
      </c>
      <c r="G440" s="2">
        <v>1115</v>
      </c>
      <c r="H440" s="2">
        <v>4282.37</v>
      </c>
      <c r="I440" s="2">
        <v>7.56</v>
      </c>
      <c r="J440" s="2">
        <v>63.8</v>
      </c>
      <c r="K440" s="2">
        <f ca="1">IFERROR(__xludf.DUMMYFUNCTION("IF($A440="""","""", IFERROR(
  INDEX(
    FILTER(IMEX_VN!$B$2:$B$130, MONTH(IMEX_VN!$A$2:$A$130)=MONTH($A440), YEAR(IMEX_VN!$A$2:$A$130)=YEAR($A440)),
    1
  ),
""""))"),1.19999999999999)</f>
        <v>1.19999999999999</v>
      </c>
      <c r="L440" s="6">
        <v>104</v>
      </c>
      <c r="M440" s="7">
        <v>87.7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8">
        <v>45081</v>
      </c>
      <c r="B441" s="9">
        <v>23470</v>
      </c>
      <c r="C441" s="2">
        <f ca="1">IFERROR(__xludf.DUMMYFUNCTION("IF($A441="""","""", IFERROR(
  INDEX(
    FILTER(CPI_VN!$C$2:$C$82, MONTH(CPI_VN!$A$2:$A$82)=MONTH($A441), YEAR(CPI_VN!$A$2:$A$82)=YEAR($A441)),
    1
  ),
""""))"),2)</f>
        <v>2</v>
      </c>
      <c r="D441" s="2">
        <f ca="1">IFERROR(__xludf.DUMMYFUNCTION("IF($A441="""","""", IFERROR(
  INDEX(
    FILTER(CPI_US!$D$2:$D$130, MONTH(CPI_US!$A$2:$A$130)=MONTH($A441), YEAR(CPI_US!$A$2:$A$130)=YEAR($A441)),
    1
  ),
""""))"),4)</f>
        <v>4</v>
      </c>
      <c r="E441" s="2">
        <v>3.1629999999999998</v>
      </c>
      <c r="F441" s="2">
        <v>5.08</v>
      </c>
      <c r="G441" s="2">
        <v>1129</v>
      </c>
      <c r="H441" s="2">
        <v>4298.8599999999997</v>
      </c>
      <c r="I441" s="2">
        <v>10.199999999999999</v>
      </c>
      <c r="J441" s="2">
        <v>63.8</v>
      </c>
      <c r="K441" s="2">
        <f ca="1">IFERROR(__xludf.DUMMYFUNCTION("IF($A441="""","""", IFERROR(
  INDEX(
    FILTER(IMEX_VN!$B$2:$B$130, MONTH(IMEX_VN!$A$2:$A$130)=MONTH($A441), YEAR(IMEX_VN!$A$2:$A$130)=YEAR($A441)),
    1
  ),
""""))"),3.1)</f>
        <v>3.1</v>
      </c>
      <c r="L441" s="6">
        <v>104</v>
      </c>
      <c r="M441" s="7">
        <v>89.2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8">
        <v>45088</v>
      </c>
      <c r="B442" s="9">
        <v>23520</v>
      </c>
      <c r="C442" s="2">
        <f ca="1">IFERROR(__xludf.DUMMYFUNCTION("IF($A442="""","""", IFERROR(
  INDEX(
    FILTER(CPI_VN!$C$2:$C$82, MONTH(CPI_VN!$A$2:$A$82)=MONTH($A442), YEAR(CPI_VN!$A$2:$A$82)=YEAR($A442)),
    1
  ),
""""))"),2)</f>
        <v>2</v>
      </c>
      <c r="D442" s="2">
        <f ca="1">IFERROR(__xludf.DUMMYFUNCTION("IF($A442="""","""", IFERROR(
  INDEX(
    FILTER(CPI_US!$D$2:$D$130, MONTH(CPI_US!$A$2:$A$130)=MONTH($A442), YEAR(CPI_US!$A$2:$A$130)=YEAR($A442)),
    1
  ),
""""))"),4)</f>
        <v>4</v>
      </c>
      <c r="E442" s="2">
        <v>2.9359999999999999</v>
      </c>
      <c r="F442" s="2">
        <v>5.08</v>
      </c>
      <c r="G442" s="2">
        <v>1120</v>
      </c>
      <c r="H442" s="2">
        <v>4409.59</v>
      </c>
      <c r="I442" s="2">
        <v>10.199999999999999</v>
      </c>
      <c r="J442" s="2">
        <v>63.8</v>
      </c>
      <c r="K442" s="2">
        <f ca="1">IFERROR(__xludf.DUMMYFUNCTION("IF($A442="""","""", IFERROR(
  INDEX(
    FILTER(IMEX_VN!$B$2:$B$130, MONTH(IMEX_VN!$A$2:$A$130)=MONTH($A442), YEAR(IMEX_VN!$A$2:$A$130)=YEAR($A442)),
    1
  ),
""""))"),3.1)</f>
        <v>3.1</v>
      </c>
      <c r="L442" s="6">
        <v>102</v>
      </c>
      <c r="M442" s="7">
        <v>89.2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8">
        <v>45095</v>
      </c>
      <c r="B443" s="9">
        <v>23515</v>
      </c>
      <c r="C443" s="2">
        <f ca="1">IFERROR(__xludf.DUMMYFUNCTION("IF($A443="""","""", IFERROR(
  INDEX(
    FILTER(CPI_VN!$C$2:$C$82, MONTH(CPI_VN!$A$2:$A$82)=MONTH($A443), YEAR(CPI_VN!$A$2:$A$82)=YEAR($A443)),
    1
  ),
""""))"),2)</f>
        <v>2</v>
      </c>
      <c r="D443" s="2">
        <f ca="1">IFERROR(__xludf.DUMMYFUNCTION("IF($A443="""","""", IFERROR(
  INDEX(
    FILTER(CPI_US!$D$2:$D$130, MONTH(CPI_US!$A$2:$A$130)=MONTH($A443), YEAR(CPI_US!$A$2:$A$130)=YEAR($A443)),
    1
  ),
""""))"),4)</f>
        <v>4</v>
      </c>
      <c r="E443" s="2">
        <v>2.7429999999999999</v>
      </c>
      <c r="F443" s="2">
        <v>5.08</v>
      </c>
      <c r="G443" s="2">
        <v>1138</v>
      </c>
      <c r="H443" s="2">
        <v>4348.33</v>
      </c>
      <c r="I443" s="2">
        <v>10.199999999999999</v>
      </c>
      <c r="J443" s="2">
        <v>63.8</v>
      </c>
      <c r="K443" s="2">
        <f ca="1">IFERROR(__xludf.DUMMYFUNCTION("IF($A443="""","""", IFERROR(
  INDEX(
    FILTER(IMEX_VN!$B$2:$B$130, MONTH(IMEX_VN!$A$2:$A$130)=MONTH($A443), YEAR(IMEX_VN!$A$2:$A$130)=YEAR($A443)),
    1
  ),
""""))"),3.1)</f>
        <v>3.1</v>
      </c>
      <c r="L443" s="6">
        <v>103</v>
      </c>
      <c r="M443" s="7">
        <v>89.2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8">
        <v>45102</v>
      </c>
      <c r="B444" s="9">
        <v>23575</v>
      </c>
      <c r="C444" s="2">
        <f ca="1">IFERROR(__xludf.DUMMYFUNCTION("IF($A444="""","""", IFERROR(
  INDEX(
    FILTER(CPI_VN!$C$2:$C$82, MONTH(CPI_VN!$A$2:$A$82)=MONTH($A444), YEAR(CPI_VN!$A$2:$A$82)=YEAR($A444)),
    1
  ),
""""))"),2)</f>
        <v>2</v>
      </c>
      <c r="D444" s="2">
        <f ca="1">IFERROR(__xludf.DUMMYFUNCTION("IF($A444="""","""", IFERROR(
  INDEX(
    FILTER(CPI_US!$D$2:$D$130, MONTH(CPI_US!$A$2:$A$130)=MONTH($A444), YEAR(CPI_US!$A$2:$A$130)=YEAR($A444)),
    1
  ),
""""))"),4)</f>
        <v>4</v>
      </c>
      <c r="E444" s="2">
        <v>2.7469999999999999</v>
      </c>
      <c r="F444" s="2">
        <v>5.07</v>
      </c>
      <c r="G444" s="2">
        <v>1168</v>
      </c>
      <c r="H444" s="2">
        <v>4450.38</v>
      </c>
      <c r="I444" s="2">
        <v>10.199999999999999</v>
      </c>
      <c r="J444" s="2">
        <v>63.8</v>
      </c>
      <c r="K444" s="2">
        <f ca="1">IFERROR(__xludf.DUMMYFUNCTION("IF($A444="""","""", IFERROR(
  INDEX(
    FILTER(IMEX_VN!$B$2:$B$130, MONTH(IMEX_VN!$A$2:$A$130)=MONTH($A444), YEAR(IMEX_VN!$A$2:$A$130)=YEAR($A444)),
    1
  ),
""""))"),3.1)</f>
        <v>3.1</v>
      </c>
      <c r="L444" s="6">
        <v>103</v>
      </c>
      <c r="M444" s="7">
        <v>89.2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8">
        <v>45109</v>
      </c>
      <c r="B445" s="9">
        <v>23635</v>
      </c>
      <c r="C445" s="2">
        <f ca="1">IFERROR(__xludf.DUMMYFUNCTION("IF($A445="""","""", IFERROR(
  INDEX(
    FILTER(CPI_VN!$C$2:$C$82, MONTH(CPI_VN!$A$2:$A$82)=MONTH($A445), YEAR(CPI_VN!$A$2:$A$82)=YEAR($A445)),
    1
  ),
""""))"),2.06)</f>
        <v>2.06</v>
      </c>
      <c r="D445" s="2">
        <f ca="1">IFERROR(__xludf.DUMMYFUNCTION("IF($A445="""","""", IFERROR(
  INDEX(
    FILTER(CPI_US!$D$2:$D$130, MONTH(CPI_US!$A$2:$A$130)=MONTH($A445), YEAR(CPI_US!$A$2:$A$130)=YEAR($A445)),
    1
  ),
""""))"),3)</f>
        <v>3</v>
      </c>
      <c r="E445" s="2">
        <v>2.9140000000000001</v>
      </c>
      <c r="F445" s="2">
        <v>5.08</v>
      </c>
      <c r="G445" s="2">
        <v>1185</v>
      </c>
      <c r="H445" s="2">
        <v>4398.95</v>
      </c>
      <c r="I445" s="2">
        <v>11.58</v>
      </c>
      <c r="J445" s="2">
        <v>69</v>
      </c>
      <c r="K445" s="2">
        <f ca="1">IFERROR(__xludf.DUMMYFUNCTION("IF($A445="""","""", IFERROR(
  INDEX(
    FILTER(IMEX_VN!$B$2:$B$130, MONTH(IMEX_VN!$A$2:$A$130)=MONTH($A445), YEAR(IMEX_VN!$A$2:$A$130)=YEAR($A445)),
    1
  ),
""""))"),3.1)</f>
        <v>3.1</v>
      </c>
      <c r="L445" s="6">
        <v>102</v>
      </c>
      <c r="M445" s="7">
        <v>87.2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8">
        <v>45116</v>
      </c>
      <c r="B446" s="9">
        <v>23630</v>
      </c>
      <c r="C446" s="2">
        <f ca="1">IFERROR(__xludf.DUMMYFUNCTION("IF($A446="""","""", IFERROR(
  INDEX(
    FILTER(CPI_VN!$C$2:$C$82, MONTH(CPI_VN!$A$2:$A$82)=MONTH($A446), YEAR(CPI_VN!$A$2:$A$82)=YEAR($A446)),
    1
  ),
""""))"),2.06)</f>
        <v>2.06</v>
      </c>
      <c r="D446" s="2">
        <f ca="1">IFERROR(__xludf.DUMMYFUNCTION("IF($A446="""","""", IFERROR(
  INDEX(
    FILTER(CPI_US!$D$2:$D$130, MONTH(CPI_US!$A$2:$A$130)=MONTH($A446), YEAR(CPI_US!$A$2:$A$130)=YEAR($A446)),
    1
  ),
""""))"),3)</f>
        <v>3</v>
      </c>
      <c r="E446" s="2">
        <v>2.7930000000000001</v>
      </c>
      <c r="F446" s="2">
        <v>5.08</v>
      </c>
      <c r="G446" s="2">
        <v>1207</v>
      </c>
      <c r="H446" s="2">
        <v>4505.42</v>
      </c>
      <c r="I446" s="2">
        <v>11.58</v>
      </c>
      <c r="J446" s="2">
        <v>69</v>
      </c>
      <c r="K446" s="2">
        <f ca="1">IFERROR(__xludf.DUMMYFUNCTION("IF($A446="""","""", IFERROR(
  INDEX(
    FILTER(IMEX_VN!$B$2:$B$130, MONTH(IMEX_VN!$A$2:$A$130)=MONTH($A446), YEAR(IMEX_VN!$A$2:$A$130)=YEAR($A446)),
    1
  ),
""""))"),3.1)</f>
        <v>3.1</v>
      </c>
      <c r="L446" s="6">
        <v>100</v>
      </c>
      <c r="M446" s="7">
        <v>87.2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8">
        <v>45123</v>
      </c>
      <c r="B447" s="9">
        <v>23656</v>
      </c>
      <c r="C447" s="2">
        <f ca="1">IFERROR(__xludf.DUMMYFUNCTION("IF($A447="""","""", IFERROR(
  INDEX(
    FILTER(CPI_VN!$C$2:$C$82, MONTH(CPI_VN!$A$2:$A$82)=MONTH($A447), YEAR(CPI_VN!$A$2:$A$82)=YEAR($A447)),
    1
  ),
""""))"),2.06)</f>
        <v>2.06</v>
      </c>
      <c r="D447" s="2">
        <f ca="1">IFERROR(__xludf.DUMMYFUNCTION("IF($A447="""","""", IFERROR(
  INDEX(
    FILTER(CPI_US!$D$2:$D$130, MONTH(CPI_US!$A$2:$A$130)=MONTH($A447), YEAR(CPI_US!$A$2:$A$130)=YEAR($A447)),
    1
  ),
""""))"),3)</f>
        <v>3</v>
      </c>
      <c r="E447" s="2">
        <v>2.5609999999999999</v>
      </c>
      <c r="F447" s="2">
        <v>5.08</v>
      </c>
      <c r="G447" s="2">
        <v>1225</v>
      </c>
      <c r="H447" s="2">
        <v>4536.34</v>
      </c>
      <c r="I447" s="2">
        <v>11.58</v>
      </c>
      <c r="J447" s="2">
        <v>69</v>
      </c>
      <c r="K447" s="2">
        <f ca="1">IFERROR(__xludf.DUMMYFUNCTION("IF($A447="""","""", IFERROR(
  INDEX(
    FILTER(IMEX_VN!$B$2:$B$130, MONTH(IMEX_VN!$A$2:$A$130)=MONTH($A447), YEAR(IMEX_VN!$A$2:$A$130)=YEAR($A447)),
    1
  ),
""""))"),3.1)</f>
        <v>3.1</v>
      </c>
      <c r="L447" s="6">
        <v>101</v>
      </c>
      <c r="M447" s="7">
        <v>87.2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8">
        <v>45130</v>
      </c>
      <c r="B448" s="9">
        <v>23685</v>
      </c>
      <c r="C448" s="2">
        <f ca="1">IFERROR(__xludf.DUMMYFUNCTION("IF($A448="""","""", IFERROR(
  INDEX(
    FILTER(CPI_VN!$C$2:$C$82, MONTH(CPI_VN!$A$2:$A$82)=MONTH($A448), YEAR(CPI_VN!$A$2:$A$82)=YEAR($A448)),
    1
  ),
""""))"),2.06)</f>
        <v>2.06</v>
      </c>
      <c r="D448" s="2">
        <f ca="1">IFERROR(__xludf.DUMMYFUNCTION("IF($A448="""","""", IFERROR(
  INDEX(
    FILTER(CPI_US!$D$2:$D$130, MONTH(CPI_US!$A$2:$A$130)=MONTH($A448), YEAR(CPI_US!$A$2:$A$130)=YEAR($A448)),
    1
  ),
""""))"),3)</f>
        <v>3</v>
      </c>
      <c r="E448" s="2">
        <v>2.5510000000000002</v>
      </c>
      <c r="F448" s="2">
        <v>5.08</v>
      </c>
      <c r="G448" s="2">
        <v>1232</v>
      </c>
      <c r="H448" s="2">
        <v>4582.2299999999996</v>
      </c>
      <c r="I448" s="2">
        <v>11.58</v>
      </c>
      <c r="J448" s="2">
        <v>69</v>
      </c>
      <c r="K448" s="2">
        <f ca="1">IFERROR(__xludf.DUMMYFUNCTION("IF($A448="""","""", IFERROR(
  INDEX(
    FILTER(IMEX_VN!$B$2:$B$130, MONTH(IMEX_VN!$A$2:$A$130)=MONTH($A448), YEAR(IMEX_VN!$A$2:$A$130)=YEAR($A448)),
    1
  ),
""""))"),3.1)</f>
        <v>3.1</v>
      </c>
      <c r="L448" s="6">
        <v>102</v>
      </c>
      <c r="M448" s="7">
        <v>87.2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8">
        <v>45137</v>
      </c>
      <c r="B449" s="9">
        <v>23725</v>
      </c>
      <c r="C449" s="2">
        <f ca="1">IFERROR(__xludf.DUMMYFUNCTION("IF($A449="""","""", IFERROR(
  INDEX(
    FILTER(CPI_VN!$C$2:$C$82, MONTH(CPI_VN!$A$2:$A$82)=MONTH($A449), YEAR(CPI_VN!$A$2:$A$82)=YEAR($A449)),
    1
  ),
""""))"),2.06)</f>
        <v>2.06</v>
      </c>
      <c r="D449" s="2">
        <f ca="1">IFERROR(__xludf.DUMMYFUNCTION("IF($A449="""","""", IFERROR(
  INDEX(
    FILTER(CPI_US!$D$2:$D$130, MONTH(CPI_US!$A$2:$A$130)=MONTH($A449), YEAR(CPI_US!$A$2:$A$130)=YEAR($A449)),
    1
  ),
""""))"),3)</f>
        <v>3</v>
      </c>
      <c r="E449" s="2">
        <v>2.4980000000000002</v>
      </c>
      <c r="F449" s="2">
        <v>5.33</v>
      </c>
      <c r="G449" s="2">
        <v>1177</v>
      </c>
      <c r="H449" s="2">
        <v>4478.03</v>
      </c>
      <c r="I449" s="2">
        <v>11.58</v>
      </c>
      <c r="J449" s="2">
        <v>69</v>
      </c>
      <c r="K449" s="2">
        <f ca="1">IFERROR(__xludf.DUMMYFUNCTION("IF($A449="""","""", IFERROR(
  INDEX(
    FILTER(IMEX_VN!$B$2:$B$130, MONTH(IMEX_VN!$A$2:$A$130)=MONTH($A449), YEAR(IMEX_VN!$A$2:$A$130)=YEAR($A449)),
    1
  ),
""""))"),3.1)</f>
        <v>3.1</v>
      </c>
      <c r="L449" s="6">
        <v>102</v>
      </c>
      <c r="M449" s="7">
        <v>87.2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8">
        <v>45144</v>
      </c>
      <c r="B450" s="9">
        <v>23750</v>
      </c>
      <c r="C450" s="2">
        <f ca="1">IFERROR(__xludf.DUMMYFUNCTION("IF($A450="""","""", IFERROR(
  INDEX(
    FILTER(CPI_VN!$C$2:$C$82, MONTH(CPI_VN!$A$2:$A$82)=MONTH($A450), YEAR(CPI_VN!$A$2:$A$82)=YEAR($A450)),
    1
  ),
""""))"),2.96)</f>
        <v>2.96</v>
      </c>
      <c r="D450" s="2">
        <f ca="1">IFERROR(__xludf.DUMMYFUNCTION("IF($A450="""","""", IFERROR(
  INDEX(
    FILTER(CPI_US!$D$2:$D$130, MONTH(CPI_US!$A$2:$A$130)=MONTH($A450), YEAR(CPI_US!$A$2:$A$130)=YEAR($A450)),
    1
  ),
""""))"),3.2)</f>
        <v>3.2</v>
      </c>
      <c r="E450" s="2">
        <v>2.5550000000000002</v>
      </c>
      <c r="F450" s="2">
        <v>5.33</v>
      </c>
      <c r="G450" s="2">
        <v>1183</v>
      </c>
      <c r="H450" s="2">
        <v>4464.05</v>
      </c>
      <c r="I450" s="2">
        <v>13.1</v>
      </c>
      <c r="J450" s="2">
        <v>69</v>
      </c>
      <c r="K450" s="2">
        <f ca="1">IFERROR(__xludf.DUMMYFUNCTION("IF($A450="""","""", IFERROR(
  INDEX(
    FILTER(IMEX_VN!$B$2:$B$130, MONTH(IMEX_VN!$A$2:$A$130)=MONTH($A450), YEAR(IMEX_VN!$A$2:$A$130)=YEAR($A450)),
    1
  ),
""""))"),3.49999999999999)</f>
        <v>3.4999999999999898</v>
      </c>
      <c r="L450" s="6">
        <v>103</v>
      </c>
      <c r="M450" s="7">
        <v>87.7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8">
        <v>45151</v>
      </c>
      <c r="B451" s="9">
        <v>23805</v>
      </c>
      <c r="C451" s="2">
        <f ca="1">IFERROR(__xludf.DUMMYFUNCTION("IF($A451="""","""", IFERROR(
  INDEX(
    FILTER(CPI_VN!$C$2:$C$82, MONTH(CPI_VN!$A$2:$A$82)=MONTH($A451), YEAR(CPI_VN!$A$2:$A$82)=YEAR($A451)),
    1
  ),
""""))"),2.96)</f>
        <v>2.96</v>
      </c>
      <c r="D451" s="2">
        <f ca="1">IFERROR(__xludf.DUMMYFUNCTION("IF($A451="""","""", IFERROR(
  INDEX(
    FILTER(CPI_US!$D$2:$D$130, MONTH(CPI_US!$A$2:$A$130)=MONTH($A451), YEAR(CPI_US!$A$2:$A$130)=YEAR($A451)),
    1
  ),
""""))"),3.2)</f>
        <v>3.2</v>
      </c>
      <c r="E451" s="2">
        <v>2.5790000000000002</v>
      </c>
      <c r="F451" s="2">
        <v>5.33</v>
      </c>
      <c r="G451" s="2">
        <v>1224</v>
      </c>
      <c r="H451" s="2">
        <v>4369.71</v>
      </c>
      <c r="I451" s="2">
        <v>13.1</v>
      </c>
      <c r="J451" s="2">
        <v>69</v>
      </c>
      <c r="K451" s="2">
        <f ca="1">IFERROR(__xludf.DUMMYFUNCTION("IF($A451="""","""", IFERROR(
  INDEX(
    FILTER(IMEX_VN!$B$2:$B$130, MONTH(IMEX_VN!$A$2:$A$130)=MONTH($A451), YEAR(IMEX_VN!$A$2:$A$130)=YEAR($A451)),
    1
  ),
""""))"),3.49999999999999)</f>
        <v>3.4999999999999898</v>
      </c>
      <c r="L451" s="6">
        <v>103</v>
      </c>
      <c r="M451" s="7">
        <v>87.7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8">
        <v>45158</v>
      </c>
      <c r="B452" s="9">
        <v>24024</v>
      </c>
      <c r="C452" s="2">
        <f ca="1">IFERROR(__xludf.DUMMYFUNCTION("IF($A452="""","""", IFERROR(
  INDEX(
    FILTER(CPI_VN!$C$2:$C$82, MONTH(CPI_VN!$A$2:$A$82)=MONTH($A452), YEAR(CPI_VN!$A$2:$A$82)=YEAR($A452)),
    1
  ),
""""))"),2.96)</f>
        <v>2.96</v>
      </c>
      <c r="D452" s="2">
        <f ca="1">IFERROR(__xludf.DUMMYFUNCTION("IF($A452="""","""", IFERROR(
  INDEX(
    FILTER(CPI_US!$D$2:$D$130, MONTH(CPI_US!$A$2:$A$130)=MONTH($A452), YEAR(CPI_US!$A$2:$A$130)=YEAR($A452)),
    1
  ),
""""))"),3.2)</f>
        <v>3.2</v>
      </c>
      <c r="E452" s="2">
        <v>2.6619999999999999</v>
      </c>
      <c r="F452" s="2">
        <v>5.33</v>
      </c>
      <c r="G452" s="2">
        <v>1241</v>
      </c>
      <c r="H452" s="2">
        <v>4405.71</v>
      </c>
      <c r="I452" s="2">
        <v>13.1</v>
      </c>
      <c r="J452" s="2">
        <v>69</v>
      </c>
      <c r="K452" s="2">
        <f ca="1">IFERROR(__xludf.DUMMYFUNCTION("IF($A452="""","""", IFERROR(
  INDEX(
    FILTER(IMEX_VN!$B$2:$B$130, MONTH(IMEX_VN!$A$2:$A$130)=MONTH($A452), YEAR(IMEX_VN!$A$2:$A$130)=YEAR($A452)),
    1
  ),
""""))"),3.49999999999999)</f>
        <v>3.4999999999999898</v>
      </c>
      <c r="L452" s="6">
        <v>104</v>
      </c>
      <c r="M452" s="7">
        <v>87.7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8">
        <v>45165</v>
      </c>
      <c r="B453" s="9">
        <v>24060</v>
      </c>
      <c r="C453" s="2">
        <f ca="1">IFERROR(__xludf.DUMMYFUNCTION("IF($A453="""","""", IFERROR(
  INDEX(
    FILTER(CPI_VN!$C$2:$C$82, MONTH(CPI_VN!$A$2:$A$82)=MONTH($A453), YEAR(CPI_VN!$A$2:$A$82)=YEAR($A453)),
    1
  ),
""""))"),2.96)</f>
        <v>2.96</v>
      </c>
      <c r="D453" s="2">
        <f ca="1">IFERROR(__xludf.DUMMYFUNCTION("IF($A453="""","""", IFERROR(
  INDEX(
    FILTER(CPI_US!$D$2:$D$130, MONTH(CPI_US!$A$2:$A$130)=MONTH($A453), YEAR(CPI_US!$A$2:$A$130)=YEAR($A453)),
    1
  ),
""""))"),3.2)</f>
        <v>3.2</v>
      </c>
      <c r="E453" s="2">
        <v>2.7170000000000001</v>
      </c>
      <c r="F453" s="2">
        <v>5.33</v>
      </c>
      <c r="G453" s="2">
        <v>1227</v>
      </c>
      <c r="H453" s="2">
        <v>4515.7700000000004</v>
      </c>
      <c r="I453" s="2">
        <v>13.1</v>
      </c>
      <c r="J453" s="2">
        <v>69</v>
      </c>
      <c r="K453" s="2">
        <f ca="1">IFERROR(__xludf.DUMMYFUNCTION("IF($A453="""","""", IFERROR(
  INDEX(
    FILTER(IMEX_VN!$B$2:$B$130, MONTH(IMEX_VN!$A$2:$A$130)=MONTH($A453), YEAR(IMEX_VN!$A$2:$A$130)=YEAR($A453)),
    1
  ),
""""))"),3.49999999999999)</f>
        <v>3.4999999999999898</v>
      </c>
      <c r="L453" s="6">
        <v>104</v>
      </c>
      <c r="M453" s="7">
        <v>87.7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8">
        <v>45172</v>
      </c>
      <c r="B454" s="9">
        <v>24055</v>
      </c>
      <c r="C454" s="2">
        <f ca="1">IFERROR(__xludf.DUMMYFUNCTION("IF($A454="""","""", IFERROR(
  INDEX(
    FILTER(CPI_VN!$C$2:$C$82, MONTH(CPI_VN!$A$2:$A$82)=MONTH($A454), YEAR(CPI_VN!$A$2:$A$82)=YEAR($A454)),
    1
  ),
""""))"),3.66)</f>
        <v>3.66</v>
      </c>
      <c r="D454" s="2">
        <f ca="1">IFERROR(__xludf.DUMMYFUNCTION("IF($A454="""","""", IFERROR(
  INDEX(
    FILTER(CPI_US!$D$2:$D$130, MONTH(CPI_US!$A$2:$A$130)=MONTH($A454), YEAR(CPI_US!$A$2:$A$130)=YEAR($A454)),
    1
  ),
""""))"),3.69999999999999)</f>
        <v>3.69999999999999</v>
      </c>
      <c r="E454" s="2">
        <v>2.7530000000000001</v>
      </c>
      <c r="F454" s="2">
        <v>5.33</v>
      </c>
      <c r="G454" s="2">
        <v>1193</v>
      </c>
      <c r="H454" s="2">
        <v>4457.49</v>
      </c>
      <c r="I454" s="2">
        <v>15.91</v>
      </c>
      <c r="J454" s="2">
        <v>69</v>
      </c>
      <c r="K454" s="2">
        <f ca="1">IFERROR(__xludf.DUMMYFUNCTION("IF($A454="""","""", IFERROR(
  INDEX(
    FILTER(IMEX_VN!$B$2:$B$130, MONTH(IMEX_VN!$A$2:$A$130)=MONTH($A454), YEAR(IMEX_VN!$A$2:$A$130)=YEAR($A454)),
    1
  ),
""""))"),2.19999999999999)</f>
        <v>2.19999999999999</v>
      </c>
      <c r="L454" s="6">
        <v>105</v>
      </c>
      <c r="M454" s="7">
        <v>87.6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8">
        <v>45179</v>
      </c>
      <c r="B455" s="9">
        <v>24250</v>
      </c>
      <c r="C455" s="2">
        <f ca="1">IFERROR(__xludf.DUMMYFUNCTION("IF($A455="""","""", IFERROR(
  INDEX(
    FILTER(CPI_VN!$C$2:$C$82, MONTH(CPI_VN!$A$2:$A$82)=MONTH($A455), YEAR(CPI_VN!$A$2:$A$82)=YEAR($A455)),
    1
  ),
""""))"),3.66)</f>
        <v>3.66</v>
      </c>
      <c r="D455" s="2">
        <f ca="1">IFERROR(__xludf.DUMMYFUNCTION("IF($A455="""","""", IFERROR(
  INDEX(
    FILTER(CPI_US!$D$2:$D$130, MONTH(CPI_US!$A$2:$A$130)=MONTH($A455), YEAR(CPI_US!$A$2:$A$130)=YEAR($A455)),
    1
  ),
""""))"),3.69999999999999)</f>
        <v>3.69999999999999</v>
      </c>
      <c r="E455" s="2">
        <v>2.7349999999999999</v>
      </c>
      <c r="F455" s="2">
        <v>5.33</v>
      </c>
      <c r="G455" s="2">
        <v>1154</v>
      </c>
      <c r="H455" s="2">
        <v>4450.32</v>
      </c>
      <c r="I455" s="2">
        <v>15.91</v>
      </c>
      <c r="J455" s="2">
        <v>69</v>
      </c>
      <c r="K455" s="2">
        <f ca="1">IFERROR(__xludf.DUMMYFUNCTION("IF($A455="""","""", IFERROR(
  INDEX(
    FILTER(IMEX_VN!$B$2:$B$130, MONTH(IMEX_VN!$A$2:$A$130)=MONTH($A455), YEAR(IMEX_VN!$A$2:$A$130)=YEAR($A455)),
    1
  ),
""""))"),2.19999999999999)</f>
        <v>2.19999999999999</v>
      </c>
      <c r="L455" s="6">
        <v>105</v>
      </c>
      <c r="M455" s="7">
        <v>87.6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8">
        <v>45186</v>
      </c>
      <c r="B456" s="9">
        <v>24360</v>
      </c>
      <c r="C456" s="2">
        <f ca="1">IFERROR(__xludf.DUMMYFUNCTION("IF($A456="""","""", IFERROR(
  INDEX(
    FILTER(CPI_VN!$C$2:$C$82, MONTH(CPI_VN!$A$2:$A$82)=MONTH($A456), YEAR(CPI_VN!$A$2:$A$82)=YEAR($A456)),
    1
  ),
""""))"),3.66)</f>
        <v>3.66</v>
      </c>
      <c r="D456" s="2">
        <f ca="1">IFERROR(__xludf.DUMMYFUNCTION("IF($A456="""","""", IFERROR(
  INDEX(
    FILTER(CPI_US!$D$2:$D$130, MONTH(CPI_US!$A$2:$A$130)=MONTH($A456), YEAR(CPI_US!$A$2:$A$130)=YEAR($A456)),
    1
  ),
""""))"),3.69999999999999)</f>
        <v>3.69999999999999</v>
      </c>
      <c r="E456" s="2">
        <v>2.74</v>
      </c>
      <c r="F456" s="2">
        <v>5.33</v>
      </c>
      <c r="G456" s="2">
        <v>1128</v>
      </c>
      <c r="H456" s="2">
        <v>4320.0600000000004</v>
      </c>
      <c r="I456" s="2">
        <v>15.91</v>
      </c>
      <c r="J456" s="2">
        <v>69</v>
      </c>
      <c r="K456" s="2">
        <f ca="1">IFERROR(__xludf.DUMMYFUNCTION("IF($A456="""","""", IFERROR(
  INDEX(
    FILTER(IMEX_VN!$B$2:$B$130, MONTH(IMEX_VN!$A$2:$A$130)=MONTH($A456), YEAR(IMEX_VN!$A$2:$A$130)=YEAR($A456)),
    1
  ),
""""))"),2.19999999999999)</f>
        <v>2.19999999999999</v>
      </c>
      <c r="L456" s="6">
        <v>106</v>
      </c>
      <c r="M456" s="7">
        <v>87.6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8">
        <v>45193</v>
      </c>
      <c r="B457" s="9">
        <v>24280</v>
      </c>
      <c r="C457" s="2">
        <f ca="1">IFERROR(__xludf.DUMMYFUNCTION("IF($A457="""","""", IFERROR(
  INDEX(
    FILTER(CPI_VN!$C$2:$C$82, MONTH(CPI_VN!$A$2:$A$82)=MONTH($A457), YEAR(CPI_VN!$A$2:$A$82)=YEAR($A457)),
    1
  ),
""""))"),3.66)</f>
        <v>3.66</v>
      </c>
      <c r="D457" s="2">
        <f ca="1">IFERROR(__xludf.DUMMYFUNCTION("IF($A457="""","""", IFERROR(
  INDEX(
    FILTER(CPI_US!$D$2:$D$130, MONTH(CPI_US!$A$2:$A$130)=MONTH($A457), YEAR(CPI_US!$A$2:$A$130)=YEAR($A457)),
    1
  ),
""""))"),3.69999999999999)</f>
        <v>3.69999999999999</v>
      </c>
      <c r="E457" s="2">
        <v>2.8380000000000001</v>
      </c>
      <c r="F457" s="2">
        <v>5.33</v>
      </c>
      <c r="G457" s="2">
        <v>1154</v>
      </c>
      <c r="H457" s="2">
        <v>4288.05</v>
      </c>
      <c r="I457" s="2">
        <v>15.91</v>
      </c>
      <c r="J457" s="2">
        <v>69</v>
      </c>
      <c r="K457" s="2">
        <f ca="1">IFERROR(__xludf.DUMMYFUNCTION("IF($A457="""","""", IFERROR(
  INDEX(
    FILTER(IMEX_VN!$B$2:$B$130, MONTH(IMEX_VN!$A$2:$A$130)=MONTH($A457), YEAR(IMEX_VN!$A$2:$A$130)=YEAR($A457)),
    1
  ),
""""))"),2.19999999999999)</f>
        <v>2.19999999999999</v>
      </c>
      <c r="L457" s="6">
        <v>106</v>
      </c>
      <c r="M457" s="7">
        <v>87.6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8">
        <v>45200</v>
      </c>
      <c r="B458" s="9">
        <v>24360</v>
      </c>
      <c r="C458" s="2">
        <f ca="1">IFERROR(__xludf.DUMMYFUNCTION("IF($A458="""","""", IFERROR(
  INDEX(
    FILTER(CPI_VN!$C$2:$C$82, MONTH(CPI_VN!$A$2:$A$82)=MONTH($A458), YEAR(CPI_VN!$A$2:$A$82)=YEAR($A458)),
    1
  ),
""""))"),3.59)</f>
        <v>3.59</v>
      </c>
      <c r="D458" s="2">
        <f ca="1">IFERROR(__xludf.DUMMYFUNCTION("IF($A458="""","""", IFERROR(
  INDEX(
    FILTER(CPI_US!$D$2:$D$130, MONTH(CPI_US!$A$2:$A$130)=MONTH($A458), YEAR(CPI_US!$A$2:$A$130)=YEAR($A458)),
    1
  ),
""""))"),3.69999999999999)</f>
        <v>3.69999999999999</v>
      </c>
      <c r="E458" s="2">
        <v>3.036</v>
      </c>
      <c r="F458" s="2">
        <v>5.33</v>
      </c>
      <c r="G458" s="2">
        <v>1108</v>
      </c>
      <c r="H458" s="2">
        <v>4308.5</v>
      </c>
      <c r="I458" s="2">
        <v>18</v>
      </c>
      <c r="J458" s="2">
        <v>72.8</v>
      </c>
      <c r="K458" s="2">
        <f ca="1">IFERROR(__xludf.DUMMYFUNCTION("IF($A458="""","""", IFERROR(
  INDEX(
    FILTER(IMEX_VN!$B$2:$B$130, MONTH(IMEX_VN!$A$2:$A$130)=MONTH($A458), YEAR(IMEX_VN!$A$2:$A$130)=YEAR($A458)),
    1
  ),
""""))"),2.79999999999999)</f>
        <v>2.7999999999999901</v>
      </c>
      <c r="L458" s="6">
        <v>106</v>
      </c>
      <c r="M458" s="7">
        <v>87.2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8">
        <v>45207</v>
      </c>
      <c r="B459" s="9">
        <v>24440</v>
      </c>
      <c r="C459" s="2">
        <f ca="1">IFERROR(__xludf.DUMMYFUNCTION("IF($A459="""","""", IFERROR(
  INDEX(
    FILTER(CPI_VN!$C$2:$C$82, MONTH(CPI_VN!$A$2:$A$82)=MONTH($A459), YEAR(CPI_VN!$A$2:$A$82)=YEAR($A459)),
    1
  ),
""""))"),3.59)</f>
        <v>3.59</v>
      </c>
      <c r="D459" s="2">
        <f ca="1">IFERROR(__xludf.DUMMYFUNCTION("IF($A459="""","""", IFERROR(
  INDEX(
    FILTER(CPI_US!$D$2:$D$130, MONTH(CPI_US!$A$2:$A$130)=MONTH($A459), YEAR(CPI_US!$A$2:$A$130)=YEAR($A459)),
    1
  ),
""""))"),3.69999999999999)</f>
        <v>3.69999999999999</v>
      </c>
      <c r="E459" s="2">
        <v>3.0270000000000001</v>
      </c>
      <c r="F459" s="2">
        <v>5.33</v>
      </c>
      <c r="G459" s="2">
        <v>1060</v>
      </c>
      <c r="H459" s="2">
        <v>4327.78</v>
      </c>
      <c r="I459" s="2">
        <v>18</v>
      </c>
      <c r="J459" s="2">
        <v>72.8</v>
      </c>
      <c r="K459" s="2">
        <f ca="1">IFERROR(__xludf.DUMMYFUNCTION("IF($A459="""","""", IFERROR(
  INDEX(
    FILTER(IMEX_VN!$B$2:$B$130, MONTH(IMEX_VN!$A$2:$A$130)=MONTH($A459), YEAR(IMEX_VN!$A$2:$A$130)=YEAR($A459)),
    1
  ),
""""))"),2.79999999999999)</f>
        <v>2.7999999999999901</v>
      </c>
      <c r="L459" s="6">
        <v>107</v>
      </c>
      <c r="M459" s="7">
        <v>87.2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8">
        <v>45214</v>
      </c>
      <c r="B460" s="9">
        <v>24520</v>
      </c>
      <c r="C460" s="2">
        <f ca="1">IFERROR(__xludf.DUMMYFUNCTION("IF($A460="""","""", IFERROR(
  INDEX(
    FILTER(CPI_VN!$C$2:$C$82, MONTH(CPI_VN!$A$2:$A$82)=MONTH($A460), YEAR(CPI_VN!$A$2:$A$82)=YEAR($A460)),
    1
  ),
""""))"),3.59)</f>
        <v>3.59</v>
      </c>
      <c r="D460" s="2">
        <f ca="1">IFERROR(__xludf.DUMMYFUNCTION("IF($A460="""","""", IFERROR(
  INDEX(
    FILTER(CPI_US!$D$2:$D$130, MONTH(CPI_US!$A$2:$A$130)=MONTH($A460), YEAR(CPI_US!$A$2:$A$130)=YEAR($A460)),
    1
  ),
""""))"),3.69999999999999)</f>
        <v>3.69999999999999</v>
      </c>
      <c r="E460" s="2">
        <v>3.2530000000000001</v>
      </c>
      <c r="F460" s="2">
        <v>5.33</v>
      </c>
      <c r="G460" s="2">
        <v>1076</v>
      </c>
      <c r="H460" s="2">
        <v>4224.16</v>
      </c>
      <c r="I460" s="2">
        <v>18</v>
      </c>
      <c r="J460" s="2">
        <v>72.8</v>
      </c>
      <c r="K460" s="2">
        <f ca="1">IFERROR(__xludf.DUMMYFUNCTION("IF($A460="""","""", IFERROR(
  INDEX(
    FILTER(IMEX_VN!$B$2:$B$130, MONTH(IMEX_VN!$A$2:$A$130)=MONTH($A460), YEAR(IMEX_VN!$A$2:$A$130)=YEAR($A460)),
    1
  ),
""""))"),2.79999999999999)</f>
        <v>2.7999999999999901</v>
      </c>
      <c r="L460" s="6">
        <v>106</v>
      </c>
      <c r="M460" s="7">
        <v>87.2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8">
        <v>45221</v>
      </c>
      <c r="B461" s="9">
        <v>24570</v>
      </c>
      <c r="C461" s="2">
        <f ca="1">IFERROR(__xludf.DUMMYFUNCTION("IF($A461="""","""", IFERROR(
  INDEX(
    FILTER(CPI_VN!$C$2:$C$82, MONTH(CPI_VN!$A$2:$A$82)=MONTH($A461), YEAR(CPI_VN!$A$2:$A$82)=YEAR($A461)),
    1
  ),
""""))"),3.59)</f>
        <v>3.59</v>
      </c>
      <c r="D461" s="2">
        <f ca="1">IFERROR(__xludf.DUMMYFUNCTION("IF($A461="""","""", IFERROR(
  INDEX(
    FILTER(CPI_US!$D$2:$D$130, MONTH(CPI_US!$A$2:$A$130)=MONTH($A461), YEAR(CPI_US!$A$2:$A$130)=YEAR($A461)),
    1
  ),
""""))"),3.69999999999999)</f>
        <v>3.69999999999999</v>
      </c>
      <c r="E461" s="2">
        <v>3.0819999999999999</v>
      </c>
      <c r="F461" s="2">
        <v>5.33</v>
      </c>
      <c r="G461" s="2">
        <v>1101</v>
      </c>
      <c r="H461" s="2">
        <v>4117.37</v>
      </c>
      <c r="I461" s="2">
        <v>18</v>
      </c>
      <c r="J461" s="2">
        <v>72.8</v>
      </c>
      <c r="K461" s="2">
        <f ca="1">IFERROR(__xludf.DUMMYFUNCTION("IF($A461="""","""", IFERROR(
  INDEX(
    FILTER(IMEX_VN!$B$2:$B$130, MONTH(IMEX_VN!$A$2:$A$130)=MONTH($A461), YEAR(IMEX_VN!$A$2:$A$130)=YEAR($A461)),
    1
  ),
""""))"),2.79999999999999)</f>
        <v>2.7999999999999901</v>
      </c>
      <c r="L461" s="6">
        <v>107</v>
      </c>
      <c r="M461" s="7">
        <v>87.2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8">
        <v>45228</v>
      </c>
      <c r="B462" s="9">
        <v>24520</v>
      </c>
      <c r="C462" s="2">
        <f ca="1">IFERROR(__xludf.DUMMYFUNCTION("IF($A462="""","""", IFERROR(
  INDEX(
    FILTER(CPI_VN!$C$2:$C$82, MONTH(CPI_VN!$A$2:$A$82)=MONTH($A462), YEAR(CPI_VN!$A$2:$A$82)=YEAR($A462)),
    1
  ),
""""))"),3.59)</f>
        <v>3.59</v>
      </c>
      <c r="D462" s="2">
        <f ca="1">IFERROR(__xludf.DUMMYFUNCTION("IF($A462="""","""", IFERROR(
  INDEX(
    FILTER(CPI_US!$D$2:$D$130, MONTH(CPI_US!$A$2:$A$130)=MONTH($A462), YEAR(CPI_US!$A$2:$A$130)=YEAR($A462)),
    1
  ),
""""))"),3.69999999999999)</f>
        <v>3.69999999999999</v>
      </c>
      <c r="E462" s="2">
        <v>2.9910000000000001</v>
      </c>
      <c r="F462" s="2">
        <v>5.33</v>
      </c>
      <c r="G462" s="2">
        <v>1101</v>
      </c>
      <c r="H462" s="2">
        <v>4358.34</v>
      </c>
      <c r="I462" s="2">
        <v>18</v>
      </c>
      <c r="J462" s="2">
        <v>72.8</v>
      </c>
      <c r="K462" s="2">
        <f ca="1">IFERROR(__xludf.DUMMYFUNCTION("IF($A462="""","""", IFERROR(
  INDEX(
    FILTER(IMEX_VN!$B$2:$B$130, MONTH(IMEX_VN!$A$2:$A$130)=MONTH($A462), YEAR(IMEX_VN!$A$2:$A$130)=YEAR($A462)),
    1
  ),
""""))"),2.79999999999999)</f>
        <v>2.7999999999999901</v>
      </c>
      <c r="L462" s="6">
        <v>105</v>
      </c>
      <c r="M462" s="7">
        <v>87.2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8">
        <v>45235</v>
      </c>
      <c r="B463" s="9">
        <v>24315</v>
      </c>
      <c r="C463" s="2">
        <f ca="1">IFERROR(__xludf.DUMMYFUNCTION("IF($A463="""","""", IFERROR(
  INDEX(
    FILTER(CPI_VN!$C$2:$C$82, MONTH(CPI_VN!$A$2:$A$82)=MONTH($A463), YEAR(CPI_VN!$A$2:$A$82)=YEAR($A463)),
    1
  ),
""""))"),3.45)</f>
        <v>3.45</v>
      </c>
      <c r="D463" s="2">
        <f ca="1">IFERROR(__xludf.DUMMYFUNCTION("IF($A463="""","""", IFERROR(
  INDEX(
    FILTER(CPI_US!$D$2:$D$130, MONTH(CPI_US!$A$2:$A$130)=MONTH($A463), YEAR(CPI_US!$A$2:$A$130)=YEAR($A463)),
    1
  ),
""""))"),3.2)</f>
        <v>3.2</v>
      </c>
      <c r="E463" s="2">
        <v>2.8279999999999998</v>
      </c>
      <c r="F463" s="2">
        <v>5.33</v>
      </c>
      <c r="G463" s="2">
        <v>1095</v>
      </c>
      <c r="H463" s="2">
        <v>4415.24</v>
      </c>
      <c r="I463" s="2">
        <v>20.25</v>
      </c>
      <c r="J463" s="2">
        <v>72.8</v>
      </c>
      <c r="K463" s="2">
        <f ca="1">IFERROR(__xludf.DUMMYFUNCTION("IF($A463="""","""", IFERROR(
  INDEX(
    FILTER(IMEX_VN!$B$2:$B$130, MONTH(IMEX_VN!$A$2:$A$130)=MONTH($A463), YEAR(IMEX_VN!$A$2:$A$130)=YEAR($A463)),
    1
  ),
""""))"),1.5)</f>
        <v>1.5</v>
      </c>
      <c r="L463" s="6">
        <v>106</v>
      </c>
      <c r="M463" s="7">
        <v>88.1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8">
        <v>45242</v>
      </c>
      <c r="B464" s="9">
        <v>24250</v>
      </c>
      <c r="C464" s="2">
        <f ca="1">IFERROR(__xludf.DUMMYFUNCTION("IF($A464="""","""", IFERROR(
  INDEX(
    FILTER(CPI_VN!$C$2:$C$82, MONTH(CPI_VN!$A$2:$A$82)=MONTH($A464), YEAR(CPI_VN!$A$2:$A$82)=YEAR($A464)),
    1
  ),
""""))"),3.45)</f>
        <v>3.45</v>
      </c>
      <c r="D464" s="2">
        <f ca="1">IFERROR(__xludf.DUMMYFUNCTION("IF($A464="""","""", IFERROR(
  INDEX(
    FILTER(CPI_US!$D$2:$D$130, MONTH(CPI_US!$A$2:$A$130)=MONTH($A464), YEAR(CPI_US!$A$2:$A$130)=YEAR($A464)),
    1
  ),
""""))"),3.2)</f>
        <v>3.2</v>
      </c>
      <c r="E464" s="2">
        <v>2.7069999999999999</v>
      </c>
      <c r="F464" s="2">
        <v>5.33</v>
      </c>
      <c r="G464" s="2">
        <v>1102</v>
      </c>
      <c r="H464" s="2">
        <v>4514.0200000000004</v>
      </c>
      <c r="I464" s="2">
        <v>20.25</v>
      </c>
      <c r="J464" s="2">
        <v>72.8</v>
      </c>
      <c r="K464" s="2">
        <f ca="1">IFERROR(__xludf.DUMMYFUNCTION("IF($A464="""","""", IFERROR(
  INDEX(
    FILTER(IMEX_VN!$B$2:$B$130, MONTH(IMEX_VN!$A$2:$A$130)=MONTH($A464), YEAR(IMEX_VN!$A$2:$A$130)=YEAR($A464)),
    1
  ),
""""))"),1.5)</f>
        <v>1.5</v>
      </c>
      <c r="L464" s="6">
        <v>104</v>
      </c>
      <c r="M464" s="7">
        <v>88.1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8">
        <v>45249</v>
      </c>
      <c r="B465" s="9">
        <v>24260</v>
      </c>
      <c r="C465" s="2">
        <f ca="1">IFERROR(__xludf.DUMMYFUNCTION("IF($A465="""","""", IFERROR(
  INDEX(
    FILTER(CPI_VN!$C$2:$C$82, MONTH(CPI_VN!$A$2:$A$82)=MONTH($A465), YEAR(CPI_VN!$A$2:$A$82)=YEAR($A465)),
    1
  ),
""""))"),3.45)</f>
        <v>3.45</v>
      </c>
      <c r="D465" s="2">
        <f ca="1">IFERROR(__xludf.DUMMYFUNCTION("IF($A465="""","""", IFERROR(
  INDEX(
    FILTER(CPI_US!$D$2:$D$130, MONTH(CPI_US!$A$2:$A$130)=MONTH($A465), YEAR(CPI_US!$A$2:$A$130)=YEAR($A465)),
    1
  ),
""""))"),3.2)</f>
        <v>3.2</v>
      </c>
      <c r="E465" s="2">
        <v>2.577</v>
      </c>
      <c r="F465" s="2">
        <v>5.33</v>
      </c>
      <c r="G465" s="2">
        <v>1124</v>
      </c>
      <c r="H465" s="2">
        <v>4559.34</v>
      </c>
      <c r="I465" s="2">
        <v>20.25</v>
      </c>
      <c r="J465" s="2">
        <v>72.8</v>
      </c>
      <c r="K465" s="2">
        <f ca="1">IFERROR(__xludf.DUMMYFUNCTION("IF($A465="""","""", IFERROR(
  INDEX(
    FILTER(IMEX_VN!$B$2:$B$130, MONTH(IMEX_VN!$A$2:$A$130)=MONTH($A465), YEAR(IMEX_VN!$A$2:$A$130)=YEAR($A465)),
    1
  ),
""""))"),1.5)</f>
        <v>1.5</v>
      </c>
      <c r="L465" s="6">
        <v>103</v>
      </c>
      <c r="M465" s="7">
        <v>88.1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8">
        <v>45256</v>
      </c>
      <c r="B466" s="9">
        <v>24290</v>
      </c>
      <c r="C466" s="2">
        <f ca="1">IFERROR(__xludf.DUMMYFUNCTION("IF($A466="""","""", IFERROR(
  INDEX(
    FILTER(CPI_VN!$C$2:$C$82, MONTH(CPI_VN!$A$2:$A$82)=MONTH($A466), YEAR(CPI_VN!$A$2:$A$82)=YEAR($A466)),
    1
  ),
""""))"),3.45)</f>
        <v>3.45</v>
      </c>
      <c r="D466" s="2">
        <f ca="1">IFERROR(__xludf.DUMMYFUNCTION("IF($A466="""","""", IFERROR(
  INDEX(
    FILTER(CPI_US!$D$2:$D$130, MONTH(CPI_US!$A$2:$A$130)=MONTH($A466), YEAR(CPI_US!$A$2:$A$130)=YEAR($A466)),
    1
  ),
""""))"),3.2)</f>
        <v>3.2</v>
      </c>
      <c r="E466" s="2">
        <v>2.4860000000000002</v>
      </c>
      <c r="F466" s="2">
        <v>5.33</v>
      </c>
      <c r="G466" s="2">
        <v>1102</v>
      </c>
      <c r="H466" s="2">
        <v>4594.63</v>
      </c>
      <c r="I466" s="2">
        <v>20.25</v>
      </c>
      <c r="J466" s="2">
        <v>72.8</v>
      </c>
      <c r="K466" s="2">
        <f ca="1">IFERROR(__xludf.DUMMYFUNCTION("IF($A466="""","""", IFERROR(
  INDEX(
    FILTER(IMEX_VN!$B$2:$B$130, MONTH(IMEX_VN!$A$2:$A$130)=MONTH($A466), YEAR(IMEX_VN!$A$2:$A$130)=YEAR($A466)),
    1
  ),
""""))"),1.5)</f>
        <v>1.5</v>
      </c>
      <c r="L466" s="6">
        <v>103</v>
      </c>
      <c r="M466" s="7">
        <v>88.1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8">
        <v>45263</v>
      </c>
      <c r="B467" s="9">
        <v>24220</v>
      </c>
      <c r="C467" s="2">
        <f ca="1">IFERROR(__xludf.DUMMYFUNCTION("IF($A467="""","""", IFERROR(
  INDEX(
    FILTER(CPI_VN!$C$2:$C$82, MONTH(CPI_VN!$A$2:$A$82)=MONTH($A467), YEAR(CPI_VN!$A$2:$A$82)=YEAR($A467)),
    1
  ),
""""))"),3.58)</f>
        <v>3.58</v>
      </c>
      <c r="D467" s="2">
        <f ca="1">IFERROR(__xludf.DUMMYFUNCTION("IF($A467="""","""", IFERROR(
  INDEX(
    FILTER(CPI_US!$D$2:$D$130, MONTH(CPI_US!$A$2:$A$130)=MONTH($A467), YEAR(CPI_US!$A$2:$A$130)=YEAR($A467)),
    1
  ),
""""))"),3.1)</f>
        <v>3.1</v>
      </c>
      <c r="E467" s="2">
        <v>2.492</v>
      </c>
      <c r="F467" s="2">
        <v>5.33</v>
      </c>
      <c r="G467" s="2">
        <v>1103</v>
      </c>
      <c r="H467" s="2">
        <v>4604.37</v>
      </c>
      <c r="I467" s="2">
        <v>23.18</v>
      </c>
      <c r="J467" s="2">
        <v>72.8</v>
      </c>
      <c r="K467" s="2">
        <f ca="1">IFERROR(__xludf.DUMMYFUNCTION("IF($A467="""","""", IFERROR(
  INDEX(
    FILTER(IMEX_VN!$B$2:$B$130, MONTH(IMEX_VN!$A$2:$A$130)=MONTH($A467), YEAR(IMEX_VN!$A$2:$A$130)=YEAR($A467)),
    1
  ),
""""))"),2.1)</f>
        <v>2.1</v>
      </c>
      <c r="L467" s="6">
        <v>104</v>
      </c>
      <c r="M467" s="7">
        <v>90.4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8">
        <v>45270</v>
      </c>
      <c r="B468" s="9">
        <v>24260</v>
      </c>
      <c r="C468" s="2">
        <f ca="1">IFERROR(__xludf.DUMMYFUNCTION("IF($A468="""","""", IFERROR(
  INDEX(
    FILTER(CPI_VN!$C$2:$C$82, MONTH(CPI_VN!$A$2:$A$82)=MONTH($A468), YEAR(CPI_VN!$A$2:$A$82)=YEAR($A468)),
    1
  ),
""""))"),3.58)</f>
        <v>3.58</v>
      </c>
      <c r="D468" s="2">
        <f ca="1">IFERROR(__xludf.DUMMYFUNCTION("IF($A468="""","""", IFERROR(
  INDEX(
    FILTER(CPI_US!$D$2:$D$130, MONTH(CPI_US!$A$2:$A$130)=MONTH($A468), YEAR(CPI_US!$A$2:$A$130)=YEAR($A468)),
    1
  ),
""""))"),3.1)</f>
        <v>3.1</v>
      </c>
      <c r="E468" s="2">
        <v>2.3610000000000002</v>
      </c>
      <c r="F468" s="2">
        <v>5.33</v>
      </c>
      <c r="G468" s="2">
        <v>1129</v>
      </c>
      <c r="H468" s="2">
        <v>4719.1899999999996</v>
      </c>
      <c r="I468" s="2">
        <v>23.18</v>
      </c>
      <c r="J468" s="2">
        <v>72.8</v>
      </c>
      <c r="K468" s="2">
        <f ca="1">IFERROR(__xludf.DUMMYFUNCTION("IF($A468="""","""", IFERROR(
  INDEX(
    FILTER(IMEX_VN!$B$2:$B$130, MONTH(IMEX_VN!$A$2:$A$130)=MONTH($A468), YEAR(IMEX_VN!$A$2:$A$130)=YEAR($A468)),
    1
  ),
""""))"),2.1)</f>
        <v>2.1</v>
      </c>
      <c r="L468" s="6">
        <v>103</v>
      </c>
      <c r="M468" s="7">
        <v>90.4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8">
        <v>45277</v>
      </c>
      <c r="B469" s="9">
        <v>24235</v>
      </c>
      <c r="C469" s="2">
        <f ca="1">IFERROR(__xludf.DUMMYFUNCTION("IF($A469="""","""", IFERROR(
  INDEX(
    FILTER(CPI_VN!$C$2:$C$82, MONTH(CPI_VN!$A$2:$A$82)=MONTH($A469), YEAR(CPI_VN!$A$2:$A$82)=YEAR($A469)),
    1
  ),
""""))"),3.58)</f>
        <v>3.58</v>
      </c>
      <c r="D469" s="2">
        <f ca="1">IFERROR(__xludf.DUMMYFUNCTION("IF($A469="""","""", IFERROR(
  INDEX(
    FILTER(CPI_US!$D$2:$D$130, MONTH(CPI_US!$A$2:$A$130)=MONTH($A469), YEAR(CPI_US!$A$2:$A$130)=YEAR($A469)),
    1
  ),
""""))"),3.1)</f>
        <v>3.1</v>
      </c>
      <c r="E469" s="2">
        <v>2.359</v>
      </c>
      <c r="F469" s="2">
        <v>5.33</v>
      </c>
      <c r="G469" s="2">
        <v>1154</v>
      </c>
      <c r="H469" s="2">
        <v>4754.63</v>
      </c>
      <c r="I469" s="2">
        <v>23.18</v>
      </c>
      <c r="J469" s="2">
        <v>72.8</v>
      </c>
      <c r="K469" s="2">
        <f ca="1">IFERROR(__xludf.DUMMYFUNCTION("IF($A469="""","""", IFERROR(
  INDEX(
    FILTER(IMEX_VN!$B$2:$B$130, MONTH(IMEX_VN!$A$2:$A$130)=MONTH($A469), YEAR(IMEX_VN!$A$2:$A$130)=YEAR($A469)),
    1
  ),
""""))"),2.1)</f>
        <v>2.1</v>
      </c>
      <c r="L469" s="6">
        <v>102</v>
      </c>
      <c r="M469" s="7">
        <v>90.4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8">
        <v>45284</v>
      </c>
      <c r="B470" s="9">
        <v>24260</v>
      </c>
      <c r="C470" s="2">
        <f ca="1">IFERROR(__xludf.DUMMYFUNCTION("IF($A470="""","""", IFERROR(
  INDEX(
    FILTER(CPI_VN!$C$2:$C$82, MONTH(CPI_VN!$A$2:$A$82)=MONTH($A470), YEAR(CPI_VN!$A$2:$A$82)=YEAR($A470)),
    1
  ),
""""))"),3.58)</f>
        <v>3.58</v>
      </c>
      <c r="D470" s="2">
        <f ca="1">IFERROR(__xludf.DUMMYFUNCTION("IF($A470="""","""", IFERROR(
  INDEX(
    FILTER(CPI_US!$D$2:$D$130, MONTH(CPI_US!$A$2:$A$130)=MONTH($A470), YEAR(CPI_US!$A$2:$A$130)=YEAR($A470)),
    1
  ),
""""))"),3.1)</f>
        <v>3.1</v>
      </c>
      <c r="E470" s="2">
        <v>2.3929999999999998</v>
      </c>
      <c r="F470" s="2">
        <v>5.33</v>
      </c>
      <c r="G470" s="2">
        <v>1154</v>
      </c>
      <c r="H470" s="2">
        <v>4769.83</v>
      </c>
      <c r="I470" s="2">
        <v>23.18</v>
      </c>
      <c r="J470" s="2">
        <v>72.8</v>
      </c>
      <c r="K470" s="2">
        <f ca="1">IFERROR(__xludf.DUMMYFUNCTION("IF($A470="""","""", IFERROR(
  INDEX(
    FILTER(IMEX_VN!$B$2:$B$130, MONTH(IMEX_VN!$A$2:$A$130)=MONTH($A470), YEAR(IMEX_VN!$A$2:$A$130)=YEAR($A470)),
    1
  ),
""""))"),2.1)</f>
        <v>2.1</v>
      </c>
      <c r="L470" s="6">
        <v>101</v>
      </c>
      <c r="M470" s="7">
        <v>90.4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8">
        <v>45291</v>
      </c>
      <c r="B471" s="9">
        <v>24370</v>
      </c>
      <c r="C471" s="2">
        <f ca="1">IFERROR(__xludf.DUMMYFUNCTION("IF($A471="""","""", IFERROR(
  INDEX(
    FILTER(CPI_VN!$C$2:$C$82, MONTH(CPI_VN!$A$2:$A$82)=MONTH($A471), YEAR(CPI_VN!$A$2:$A$82)=YEAR($A471)),
    1
  ),
""""))"),3.58)</f>
        <v>3.58</v>
      </c>
      <c r="D471" s="2">
        <f ca="1">IFERROR(__xludf.DUMMYFUNCTION("IF($A471="""","""", IFERROR(
  INDEX(
    FILTER(CPI_US!$D$2:$D$130, MONTH(CPI_US!$A$2:$A$130)=MONTH($A471), YEAR(CPI_US!$A$2:$A$130)=YEAR($A471)),
    1
  ),
""""))"),3.1)</f>
        <v>3.1</v>
      </c>
      <c r="E471" s="2">
        <v>2.3690000000000002</v>
      </c>
      <c r="F471" s="2">
        <v>5.33</v>
      </c>
      <c r="G471" s="2">
        <v>1181</v>
      </c>
      <c r="H471" s="2">
        <v>4697.24</v>
      </c>
      <c r="I471" s="2">
        <v>23.18</v>
      </c>
      <c r="J471" s="2">
        <v>72.8</v>
      </c>
      <c r="K471" s="2">
        <f ca="1">IFERROR(__xludf.DUMMYFUNCTION("IF($A471="""","""", IFERROR(
  INDEX(
    FILTER(IMEX_VN!$B$2:$B$130, MONTH(IMEX_VN!$A$2:$A$130)=MONTH($A471), YEAR(IMEX_VN!$A$2:$A$130)=YEAR($A471)),
    1
  ),
""""))"),2.1)</f>
        <v>2.1</v>
      </c>
      <c r="L471" s="6">
        <v>102</v>
      </c>
      <c r="M471" s="7">
        <v>90.4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8">
        <v>45298</v>
      </c>
      <c r="B472" s="9">
        <v>24490</v>
      </c>
      <c r="C472" s="2">
        <f ca="1">IFERROR(__xludf.DUMMYFUNCTION("IF($A472="""","""", IFERROR(
  INDEX(
    FILTER(CPI_VN!$C$2:$C$82, MONTH(CPI_VN!$A$2:$A$82)=MONTH($A472), YEAR(CPI_VN!$A$2:$A$82)=YEAR($A472)),
    1
  ),
""""))"),3.37)</f>
        <v>3.37</v>
      </c>
      <c r="D472" s="2">
        <f ca="1">IFERROR(__xludf.DUMMYFUNCTION("IF($A472="""","""", IFERROR(
  INDEX(
    FILTER(CPI_US!$D$2:$D$130, MONTH(CPI_US!$A$2:$A$130)=MONTH($A472), YEAR(CPI_US!$A$2:$A$130)=YEAR($A472)),
    1
  ),
""""))"),3.4)</f>
        <v>3.4</v>
      </c>
      <c r="E472" s="2">
        <v>2.3279999999999998</v>
      </c>
      <c r="F472" s="2">
        <v>5.33</v>
      </c>
      <c r="G472" s="2">
        <v>1175</v>
      </c>
      <c r="H472" s="2">
        <v>4783.83</v>
      </c>
      <c r="I472" s="2">
        <v>1.48</v>
      </c>
      <c r="J472" s="2">
        <v>76.400000000000006</v>
      </c>
      <c r="K472" s="2">
        <f ca="1">IFERROR(__xludf.DUMMYFUNCTION("IF($A472="""","""", IFERROR(
  INDEX(
    FILTER(IMEX_VN!$B$2:$B$130, MONTH(IMEX_VN!$A$2:$A$130)=MONTH($A472), YEAR(IMEX_VN!$A$2:$A$130)=YEAR($A472)),
    1
  ),
""""))"),3.6)</f>
        <v>3.6</v>
      </c>
      <c r="L472" s="6">
        <v>102</v>
      </c>
      <c r="M472" s="7">
        <v>88.1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8">
        <v>45305</v>
      </c>
      <c r="B473" s="9">
        <v>24540</v>
      </c>
      <c r="C473" s="2">
        <f ca="1">IFERROR(__xludf.DUMMYFUNCTION("IF($A473="""","""", IFERROR(
  INDEX(
    FILTER(CPI_VN!$C$2:$C$82, MONTH(CPI_VN!$A$2:$A$82)=MONTH($A473), YEAR(CPI_VN!$A$2:$A$82)=YEAR($A473)),
    1
  ),
""""))"),3.37)</f>
        <v>3.37</v>
      </c>
      <c r="D473" s="2">
        <f ca="1">IFERROR(__xludf.DUMMYFUNCTION("IF($A473="""","""", IFERROR(
  INDEX(
    FILTER(CPI_US!$D$2:$D$130, MONTH(CPI_US!$A$2:$A$130)=MONTH($A473), YEAR(CPI_US!$A$2:$A$130)=YEAR($A473)),
    1
  ),
""""))"),3.4)</f>
        <v>3.4</v>
      </c>
      <c r="E473" s="2">
        <v>2.3759999999999999</v>
      </c>
      <c r="F473" s="2">
        <v>5.33</v>
      </c>
      <c r="G473" s="2">
        <v>1172</v>
      </c>
      <c r="H473" s="2">
        <v>4839.8100000000004</v>
      </c>
      <c r="I473" s="2">
        <v>1.48</v>
      </c>
      <c r="J473" s="2">
        <v>76.400000000000006</v>
      </c>
      <c r="K473" s="2">
        <f ca="1">IFERROR(__xludf.DUMMYFUNCTION("IF($A473="""","""", IFERROR(
  INDEX(
    FILTER(IMEX_VN!$B$2:$B$130, MONTH(IMEX_VN!$A$2:$A$130)=MONTH($A473), YEAR(IMEX_VN!$A$2:$A$130)=YEAR($A473)),
    1
  ),
""""))"),3.6)</f>
        <v>3.6</v>
      </c>
      <c r="L473" s="6">
        <v>103</v>
      </c>
      <c r="M473" s="7">
        <v>88.1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8">
        <v>45312</v>
      </c>
      <c r="B474" s="9">
        <v>24595</v>
      </c>
      <c r="C474" s="2">
        <f ca="1">IFERROR(__xludf.DUMMYFUNCTION("IF($A474="""","""", IFERROR(
  INDEX(
    FILTER(CPI_VN!$C$2:$C$82, MONTH(CPI_VN!$A$2:$A$82)=MONTH($A474), YEAR(CPI_VN!$A$2:$A$82)=YEAR($A474)),
    1
  ),
""""))"),3.37)</f>
        <v>3.37</v>
      </c>
      <c r="D474" s="2">
        <f ca="1">IFERROR(__xludf.DUMMYFUNCTION("IF($A474="""","""", IFERROR(
  INDEX(
    FILTER(CPI_US!$D$2:$D$130, MONTH(CPI_US!$A$2:$A$130)=MONTH($A474), YEAR(CPI_US!$A$2:$A$130)=YEAR($A474)),
    1
  ),
""""))"),3.4)</f>
        <v>3.4</v>
      </c>
      <c r="E474" s="2">
        <v>2.4009999999999998</v>
      </c>
      <c r="F474" s="2">
        <v>5.33</v>
      </c>
      <c r="G474" s="2">
        <v>1198</v>
      </c>
      <c r="H474" s="2">
        <v>4890.97</v>
      </c>
      <c r="I474" s="2">
        <v>1.48</v>
      </c>
      <c r="J474" s="2">
        <v>76.400000000000006</v>
      </c>
      <c r="K474" s="2">
        <f ca="1">IFERROR(__xludf.DUMMYFUNCTION("IF($A474="""","""", IFERROR(
  INDEX(
    FILTER(IMEX_VN!$B$2:$B$130, MONTH(IMEX_VN!$A$2:$A$130)=MONTH($A474), YEAR(IMEX_VN!$A$2:$A$130)=YEAR($A474)),
    1
  ),
""""))"),3.6)</f>
        <v>3.6</v>
      </c>
      <c r="L474" s="6">
        <v>103</v>
      </c>
      <c r="M474" s="7">
        <v>88.1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8">
        <v>45319</v>
      </c>
      <c r="B475" s="9">
        <v>24335</v>
      </c>
      <c r="C475" s="2">
        <f ca="1">IFERROR(__xludf.DUMMYFUNCTION("IF($A475="""","""", IFERROR(
  INDEX(
    FILTER(CPI_VN!$C$2:$C$82, MONTH(CPI_VN!$A$2:$A$82)=MONTH($A475), YEAR(CPI_VN!$A$2:$A$82)=YEAR($A475)),
    1
  ),
""""))"),3.37)</f>
        <v>3.37</v>
      </c>
      <c r="D475" s="2">
        <f ca="1">IFERROR(__xludf.DUMMYFUNCTION("IF($A475="""","""", IFERROR(
  INDEX(
    FILTER(CPI_US!$D$2:$D$130, MONTH(CPI_US!$A$2:$A$130)=MONTH($A475), YEAR(CPI_US!$A$2:$A$130)=YEAR($A475)),
    1
  ),
""""))"),3.4)</f>
        <v>3.4</v>
      </c>
      <c r="E475" s="2">
        <v>2.4049999999999998</v>
      </c>
      <c r="F475" s="2">
        <v>5.33</v>
      </c>
      <c r="G475" s="2">
        <v>1209</v>
      </c>
      <c r="H475" s="2">
        <v>4958.6099999999997</v>
      </c>
      <c r="I475" s="2">
        <v>1.48</v>
      </c>
      <c r="J475" s="2">
        <v>76.400000000000006</v>
      </c>
      <c r="K475" s="2">
        <f ca="1">IFERROR(__xludf.DUMMYFUNCTION("IF($A475="""","""", IFERROR(
  INDEX(
    FILTER(IMEX_VN!$B$2:$B$130, MONTH(IMEX_VN!$A$2:$A$130)=MONTH($A475), YEAR(IMEX_VN!$A$2:$A$130)=YEAR($A475)),
    1
  ),
""""))"),3.6)</f>
        <v>3.6</v>
      </c>
      <c r="L475" s="6">
        <v>104</v>
      </c>
      <c r="M475" s="7">
        <v>88.1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8">
        <v>45326</v>
      </c>
      <c r="B476" s="9">
        <v>24400</v>
      </c>
      <c r="C476" s="2">
        <f ca="1">IFERROR(__xludf.DUMMYFUNCTION("IF($A476="""","""", IFERROR(
  INDEX(
    FILTER(CPI_VN!$C$2:$C$82, MONTH(CPI_VN!$A$2:$A$82)=MONTH($A476), YEAR(CPI_VN!$A$2:$A$82)=YEAR($A476)),
    1
  ),
""""))"),3.98)</f>
        <v>3.98</v>
      </c>
      <c r="D476" s="2">
        <f ca="1">IFERROR(__xludf.DUMMYFUNCTION("IF($A476="""","""", IFERROR(
  INDEX(
    FILTER(CPI_US!$D$2:$D$130, MONTH(CPI_US!$A$2:$A$130)=MONTH($A476), YEAR(CPI_US!$A$2:$A$130)=YEAR($A476)),
    1
  ),
""""))"),3.1)</f>
        <v>3.1</v>
      </c>
      <c r="E476" s="2">
        <v>2.4049999999999998</v>
      </c>
      <c r="F476" s="2">
        <v>5.33</v>
      </c>
      <c r="G476" s="2">
        <v>1212</v>
      </c>
      <c r="H476" s="2">
        <v>5026.6099999999997</v>
      </c>
      <c r="I476" s="2">
        <v>2.8</v>
      </c>
      <c r="J476" s="2">
        <v>76.400000000000006</v>
      </c>
      <c r="K476" s="2">
        <f ca="1">IFERROR(__xludf.DUMMYFUNCTION("IF($A476="""","""", IFERROR(
  INDEX(
    FILTER(IMEX_VN!$B$2:$B$130, MONTH(IMEX_VN!$A$2:$A$130)=MONTH($A476), YEAR(IMEX_VN!$A$2:$A$130)=YEAR($A476)),
    1
  ),
""""))"),1.39999999999999)</f>
        <v>1.3999999999999899</v>
      </c>
      <c r="L476" s="6">
        <v>104</v>
      </c>
      <c r="M476" s="7">
        <v>88.3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8">
        <v>45333</v>
      </c>
      <c r="B477" s="9">
        <v>24510</v>
      </c>
      <c r="C477" s="2">
        <f ca="1">IFERROR(__xludf.DUMMYFUNCTION("IF($A477="""","""", IFERROR(
  INDEX(
    FILTER(CPI_VN!$C$2:$C$82, MONTH(CPI_VN!$A$2:$A$82)=MONTH($A477), YEAR(CPI_VN!$A$2:$A$82)=YEAR($A477)),
    1
  ),
""""))"),3.98)</f>
        <v>3.98</v>
      </c>
      <c r="D477" s="2">
        <f ca="1">IFERROR(__xludf.DUMMYFUNCTION("IF($A477="""","""", IFERROR(
  INDEX(
    FILTER(CPI_US!$D$2:$D$130, MONTH(CPI_US!$A$2:$A$130)=MONTH($A477), YEAR(CPI_US!$A$2:$A$130)=YEAR($A477)),
    1
  ),
""""))"),3.1)</f>
        <v>3.1</v>
      </c>
      <c r="E477" s="2">
        <v>2.3820000000000001</v>
      </c>
      <c r="F477" s="2">
        <v>5.33</v>
      </c>
      <c r="G477" s="2">
        <v>1258</v>
      </c>
      <c r="H477" s="2">
        <v>5005.57</v>
      </c>
      <c r="I477" s="2">
        <v>2.8</v>
      </c>
      <c r="J477" s="2">
        <v>76.400000000000006</v>
      </c>
      <c r="K477" s="2">
        <f ca="1">IFERROR(__xludf.DUMMYFUNCTION("IF($A477="""","""", IFERROR(
  INDEX(
    FILTER(IMEX_VN!$B$2:$B$130, MONTH(IMEX_VN!$A$2:$A$130)=MONTH($A477), YEAR(IMEX_VN!$A$2:$A$130)=YEAR($A477)),
    1
  ),
""""))"),1.39999999999999)</f>
        <v>1.3999999999999899</v>
      </c>
      <c r="L477" s="6">
        <v>104</v>
      </c>
      <c r="M477" s="7">
        <v>88.3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8">
        <v>45340</v>
      </c>
      <c r="B478" s="9">
        <v>24630</v>
      </c>
      <c r="C478" s="2">
        <f ca="1">IFERROR(__xludf.DUMMYFUNCTION("IF($A478="""","""", IFERROR(
  INDEX(
    FILTER(CPI_VN!$C$2:$C$82, MONTH(CPI_VN!$A$2:$A$82)=MONTH($A478), YEAR(CPI_VN!$A$2:$A$82)=YEAR($A478)),
    1
  ),
""""))"),3.98)</f>
        <v>3.98</v>
      </c>
      <c r="D478" s="2">
        <f ca="1">IFERROR(__xludf.DUMMYFUNCTION("IF($A478="""","""", IFERROR(
  INDEX(
    FILTER(CPI_US!$D$2:$D$130, MONTH(CPI_US!$A$2:$A$130)=MONTH($A478), YEAR(CPI_US!$A$2:$A$130)=YEAR($A478)),
    1
  ),
""""))"),3.1)</f>
        <v>3.1</v>
      </c>
      <c r="E478" s="2">
        <v>2.427</v>
      </c>
      <c r="F478" s="2">
        <v>5.33</v>
      </c>
      <c r="G478" s="2">
        <v>1247</v>
      </c>
      <c r="H478" s="2">
        <v>5088.8</v>
      </c>
      <c r="I478" s="2">
        <v>2.8</v>
      </c>
      <c r="J478" s="2">
        <v>76.400000000000006</v>
      </c>
      <c r="K478" s="2">
        <f ca="1">IFERROR(__xludf.DUMMYFUNCTION("IF($A478="""","""", IFERROR(
  INDEX(
    FILTER(IMEX_VN!$B$2:$B$130, MONTH(IMEX_VN!$A$2:$A$130)=MONTH($A478), YEAR(IMEX_VN!$A$2:$A$130)=YEAR($A478)),
    1
  ),
""""))"),1.39999999999999)</f>
        <v>1.3999999999999899</v>
      </c>
      <c r="L478" s="6">
        <v>104</v>
      </c>
      <c r="M478" s="7">
        <v>88.3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8">
        <v>45347</v>
      </c>
      <c r="B479" s="9">
        <v>24640</v>
      </c>
      <c r="C479" s="2">
        <f ca="1">IFERROR(__xludf.DUMMYFUNCTION("IF($A479="""","""", IFERROR(
  INDEX(
    FILTER(CPI_VN!$C$2:$C$82, MONTH(CPI_VN!$A$2:$A$82)=MONTH($A479), YEAR(CPI_VN!$A$2:$A$82)=YEAR($A479)),
    1
  ),
""""))"),3.98)</f>
        <v>3.98</v>
      </c>
      <c r="D479" s="2">
        <f ca="1">IFERROR(__xludf.DUMMYFUNCTION("IF($A479="""","""", IFERROR(
  INDEX(
    FILTER(CPI_US!$D$2:$D$130, MONTH(CPI_US!$A$2:$A$130)=MONTH($A479), YEAR(CPI_US!$A$2:$A$130)=YEAR($A479)),
    1
  ),
""""))"),3.1)</f>
        <v>3.1</v>
      </c>
      <c r="E479" s="2">
        <v>2.4060000000000001</v>
      </c>
      <c r="F479" s="2">
        <v>5.33</v>
      </c>
      <c r="G479" s="2">
        <v>1263</v>
      </c>
      <c r="H479" s="2">
        <v>5137.08</v>
      </c>
      <c r="I479" s="2">
        <v>2.8</v>
      </c>
      <c r="J479" s="2">
        <v>76.400000000000006</v>
      </c>
      <c r="K479" s="2">
        <f ca="1">IFERROR(__xludf.DUMMYFUNCTION("IF($A479="""","""", IFERROR(
  INDEX(
    FILTER(IMEX_VN!$B$2:$B$130, MONTH(IMEX_VN!$A$2:$A$130)=MONTH($A479), YEAR(IMEX_VN!$A$2:$A$130)=YEAR($A479)),
    1
  ),
""""))"),1.39999999999999)</f>
        <v>1.3999999999999899</v>
      </c>
      <c r="L479" s="6">
        <v>104</v>
      </c>
      <c r="M479" s="7">
        <v>88.3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8">
        <v>45354</v>
      </c>
      <c r="B480" s="9">
        <v>24640</v>
      </c>
      <c r="C480" s="2">
        <f ca="1">IFERROR(__xludf.DUMMYFUNCTION("IF($A480="""","""", IFERROR(
  INDEX(
    FILTER(CPI_VN!$C$2:$C$82, MONTH(CPI_VN!$A$2:$A$82)=MONTH($A480), YEAR(CPI_VN!$A$2:$A$82)=YEAR($A480)),
    1
  ),
""""))"),3.96999999999999)</f>
        <v>3.96999999999999</v>
      </c>
      <c r="D480" s="2">
        <f ca="1">IFERROR(__xludf.DUMMYFUNCTION("IF($A480="""","""", IFERROR(
  INDEX(
    FILTER(CPI_US!$D$2:$D$130, MONTH(CPI_US!$A$2:$A$130)=MONTH($A480), YEAR(CPI_US!$A$2:$A$130)=YEAR($A480)),
    1
  ),
""""))"),3.2)</f>
        <v>3.2</v>
      </c>
      <c r="E480" s="2">
        <v>2.6160000000000001</v>
      </c>
      <c r="F480" s="2">
        <v>5.33</v>
      </c>
      <c r="G480" s="2">
        <v>1281</v>
      </c>
      <c r="H480" s="2">
        <v>5123.6899999999996</v>
      </c>
      <c r="I480" s="2">
        <v>4.5999999999999996</v>
      </c>
      <c r="J480" s="2">
        <v>76.400000000000006</v>
      </c>
      <c r="K480" s="2">
        <f ca="1">IFERROR(__xludf.DUMMYFUNCTION("IF($A480="""","""", IFERROR(
  INDEX(
    FILTER(IMEX_VN!$B$2:$B$130, MONTH(IMEX_VN!$A$2:$A$130)=MONTH($A480), YEAR(IMEX_VN!$A$2:$A$130)=YEAR($A480)),
    1
  ),
""""))"),2.89999999999999)</f>
        <v>2.8999999999999901</v>
      </c>
      <c r="L480" s="6">
        <v>103</v>
      </c>
      <c r="M480" s="7">
        <v>89.1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8">
        <v>45361</v>
      </c>
      <c r="B481" s="9">
        <v>24710</v>
      </c>
      <c r="C481" s="2">
        <f ca="1">IFERROR(__xludf.DUMMYFUNCTION("IF($A481="""","""", IFERROR(
  INDEX(
    FILTER(CPI_VN!$C$2:$C$82, MONTH(CPI_VN!$A$2:$A$82)=MONTH($A481), YEAR(CPI_VN!$A$2:$A$82)=YEAR($A481)),
    1
  ),
""""))"),3.96999999999999)</f>
        <v>3.96999999999999</v>
      </c>
      <c r="D481" s="2">
        <f ca="1">IFERROR(__xludf.DUMMYFUNCTION("IF($A481="""","""", IFERROR(
  INDEX(
    FILTER(CPI_US!$D$2:$D$130, MONTH(CPI_US!$A$2:$A$130)=MONTH($A481), YEAR(CPI_US!$A$2:$A$130)=YEAR($A481)),
    1
  ),
""""))"),3.2)</f>
        <v>3.2</v>
      </c>
      <c r="E481" s="2">
        <v>2.6230000000000002</v>
      </c>
      <c r="F481" s="2">
        <v>5.33</v>
      </c>
      <c r="G481" s="2">
        <v>1284</v>
      </c>
      <c r="H481" s="2">
        <v>5117.09</v>
      </c>
      <c r="I481" s="2">
        <v>4.5999999999999996</v>
      </c>
      <c r="J481" s="2">
        <v>76.400000000000006</v>
      </c>
      <c r="K481" s="2">
        <f ca="1">IFERROR(__xludf.DUMMYFUNCTION("IF($A481="""","""", IFERROR(
  INDEX(
    FILTER(IMEX_VN!$B$2:$B$130, MONTH(IMEX_VN!$A$2:$A$130)=MONTH($A481), YEAR(IMEX_VN!$A$2:$A$130)=YEAR($A481)),
    1
  ),
""""))"),2.89999999999999)</f>
        <v>2.8999999999999901</v>
      </c>
      <c r="L481" s="6">
        <v>103</v>
      </c>
      <c r="M481" s="7">
        <v>89.1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8">
        <v>45368</v>
      </c>
      <c r="B482" s="9">
        <v>24768</v>
      </c>
      <c r="C482" s="2">
        <f ca="1">IFERROR(__xludf.DUMMYFUNCTION("IF($A482="""","""", IFERROR(
  INDEX(
    FILTER(CPI_VN!$C$2:$C$82, MONTH(CPI_VN!$A$2:$A$82)=MONTH($A482), YEAR(CPI_VN!$A$2:$A$82)=YEAR($A482)),
    1
  ),
""""))"),3.96999999999999)</f>
        <v>3.96999999999999</v>
      </c>
      <c r="D482" s="2">
        <f ca="1">IFERROR(__xludf.DUMMYFUNCTION("IF($A482="""","""", IFERROR(
  INDEX(
    FILTER(CPI_US!$D$2:$D$130, MONTH(CPI_US!$A$2:$A$130)=MONTH($A482), YEAR(CPI_US!$A$2:$A$130)=YEAR($A482)),
    1
  ),
""""))"),3.2)</f>
        <v>3.2</v>
      </c>
      <c r="E482" s="2">
        <v>2.6360000000000001</v>
      </c>
      <c r="F482" s="2">
        <v>5.33</v>
      </c>
      <c r="G482" s="2">
        <v>1255</v>
      </c>
      <c r="H482" s="2">
        <v>5234.18</v>
      </c>
      <c r="I482" s="2">
        <v>4.5999999999999996</v>
      </c>
      <c r="J482" s="2">
        <v>76.400000000000006</v>
      </c>
      <c r="K482" s="2">
        <f ca="1">IFERROR(__xludf.DUMMYFUNCTION("IF($A482="""","""", IFERROR(
  INDEX(
    FILTER(IMEX_VN!$B$2:$B$130, MONTH(IMEX_VN!$A$2:$A$130)=MONTH($A482), YEAR(IMEX_VN!$A$2:$A$130)=YEAR($A482)),
    1
  ),
""""))"),2.89999999999999)</f>
        <v>2.8999999999999901</v>
      </c>
      <c r="L482" s="6">
        <v>104</v>
      </c>
      <c r="M482" s="7">
        <v>89.1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8">
        <v>45375</v>
      </c>
      <c r="B483" s="9">
        <v>24810</v>
      </c>
      <c r="C483" s="2">
        <f ca="1">IFERROR(__xludf.DUMMYFUNCTION("IF($A483="""","""", IFERROR(
  INDEX(
    FILTER(CPI_VN!$C$2:$C$82, MONTH(CPI_VN!$A$2:$A$82)=MONTH($A483), YEAR(CPI_VN!$A$2:$A$82)=YEAR($A483)),
    1
  ),
""""))"),3.96999999999999)</f>
        <v>3.96999999999999</v>
      </c>
      <c r="D483" s="2">
        <f ca="1">IFERROR(__xludf.DUMMYFUNCTION("IF($A483="""","""", IFERROR(
  INDEX(
    FILTER(CPI_US!$D$2:$D$130, MONTH(CPI_US!$A$2:$A$130)=MONTH($A483), YEAR(CPI_US!$A$2:$A$130)=YEAR($A483)),
    1
  ),
""""))"),3.2)</f>
        <v>3.2</v>
      </c>
      <c r="E483" s="2">
        <v>2.7469999999999999</v>
      </c>
      <c r="F483" s="2">
        <v>5.33</v>
      </c>
      <c r="G483" s="2">
        <v>1276</v>
      </c>
      <c r="H483" s="2">
        <v>5254.35</v>
      </c>
      <c r="I483" s="2">
        <v>4.5999999999999996</v>
      </c>
      <c r="J483" s="2">
        <v>76.400000000000006</v>
      </c>
      <c r="K483" s="2">
        <f ca="1">IFERROR(__xludf.DUMMYFUNCTION("IF($A483="""","""", IFERROR(
  INDEX(
    FILTER(IMEX_VN!$B$2:$B$130, MONTH(IMEX_VN!$A$2:$A$130)=MONTH($A483), YEAR(IMEX_VN!$A$2:$A$130)=YEAR($A483)),
    1
  ),
""""))"),2.89999999999999)</f>
        <v>2.8999999999999901</v>
      </c>
      <c r="L483" s="6">
        <v>105</v>
      </c>
      <c r="M483" s="7">
        <v>89.1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8">
        <v>45382</v>
      </c>
      <c r="B484" s="9">
        <v>24950</v>
      </c>
      <c r="C484" s="2">
        <f ca="1">IFERROR(__xludf.DUMMYFUNCTION("IF($A484="""","""", IFERROR(
  INDEX(
    FILTER(CPI_VN!$C$2:$C$82, MONTH(CPI_VN!$A$2:$A$82)=MONTH($A484), YEAR(CPI_VN!$A$2:$A$82)=YEAR($A484)),
    1
  ),
""""))"),3.96999999999999)</f>
        <v>3.96999999999999</v>
      </c>
      <c r="D484" s="2">
        <f ca="1">IFERROR(__xludf.DUMMYFUNCTION("IF($A484="""","""", IFERROR(
  INDEX(
    FILTER(CPI_US!$D$2:$D$130, MONTH(CPI_US!$A$2:$A$130)=MONTH($A484), YEAR(CPI_US!$A$2:$A$130)=YEAR($A484)),
    1
  ),
""""))"),3.2)</f>
        <v>3.2</v>
      </c>
      <c r="E484" s="2">
        <v>2.883</v>
      </c>
      <c r="F484" s="2">
        <v>5.33</v>
      </c>
      <c r="G484" s="2">
        <v>1174</v>
      </c>
      <c r="H484" s="2">
        <v>5204.34</v>
      </c>
      <c r="I484" s="2">
        <v>4.5999999999999996</v>
      </c>
      <c r="J484" s="2">
        <v>76.400000000000006</v>
      </c>
      <c r="K484" s="2">
        <f ca="1">IFERROR(__xludf.DUMMYFUNCTION("IF($A484="""","""", IFERROR(
  INDEX(
    FILTER(IMEX_VN!$B$2:$B$130, MONTH(IMEX_VN!$A$2:$A$130)=MONTH($A484), YEAR(IMEX_VN!$A$2:$A$130)=YEAR($A484)),
    1
  ),
""""))"),2.89999999999999)</f>
        <v>2.8999999999999901</v>
      </c>
      <c r="L484" s="6">
        <v>104</v>
      </c>
      <c r="M484" s="7">
        <v>89.1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8">
        <v>45389</v>
      </c>
      <c r="B485" s="9">
        <v>25015</v>
      </c>
      <c r="C485" s="2">
        <f ca="1">IFERROR(__xludf.DUMMYFUNCTION("IF($A485="""","""", IFERROR(
  INDEX(
    FILTER(CPI_VN!$C$2:$C$82, MONTH(CPI_VN!$A$2:$A$82)=MONTH($A485), YEAR(CPI_VN!$A$2:$A$82)=YEAR($A485)),
    1
  ),
""""))"),4.4)</f>
        <v>4.4000000000000004</v>
      </c>
      <c r="D485" s="2">
        <f ca="1">IFERROR(__xludf.DUMMYFUNCTION("IF($A485="""","""", IFERROR(
  INDEX(
    FILTER(CPI_US!$D$2:$D$130, MONTH(CPI_US!$A$2:$A$130)=MONTH($A485), YEAR(CPI_US!$A$2:$A$130)=YEAR($A485)),
    1
  ),
""""))"),3.5)</f>
        <v>3.5</v>
      </c>
      <c r="E485" s="2">
        <v>2.8610000000000002</v>
      </c>
      <c r="F485" s="2">
        <v>5.33</v>
      </c>
      <c r="G485" s="2">
        <v>1209</v>
      </c>
      <c r="H485" s="2">
        <v>5123.41</v>
      </c>
      <c r="I485" s="2">
        <v>6.28</v>
      </c>
      <c r="J485" s="2">
        <v>81.3</v>
      </c>
      <c r="K485" s="2">
        <f ca="1">IFERROR(__xludf.DUMMYFUNCTION("IF($A485="""","""", IFERROR(
  INDEX(
    FILTER(IMEX_VN!$B$2:$B$130, MONTH(IMEX_VN!$A$2:$A$130)=MONTH($A485), YEAR(IMEX_VN!$A$2:$A$130)=YEAR($A485)),
    1
  ),
""""))"),1.1)</f>
        <v>1.1000000000000001</v>
      </c>
      <c r="L485" s="6">
        <v>106</v>
      </c>
      <c r="M485" s="7">
        <v>88.2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8">
        <v>45396</v>
      </c>
      <c r="B486" s="9">
        <v>25440</v>
      </c>
      <c r="C486" s="2">
        <f ca="1">IFERROR(__xludf.DUMMYFUNCTION("IF($A486="""","""", IFERROR(
  INDEX(
    FILTER(CPI_VN!$C$2:$C$82, MONTH(CPI_VN!$A$2:$A$82)=MONTH($A486), YEAR(CPI_VN!$A$2:$A$82)=YEAR($A486)),
    1
  ),
""""))"),4.4)</f>
        <v>4.4000000000000004</v>
      </c>
      <c r="D486" s="2">
        <f ca="1">IFERROR(__xludf.DUMMYFUNCTION("IF($A486="""","""", IFERROR(
  INDEX(
    FILTER(CPI_US!$D$2:$D$130, MONTH(CPI_US!$A$2:$A$130)=MONTH($A486), YEAR(CPI_US!$A$2:$A$130)=YEAR($A486)),
    1
  ),
""""))"),3.5)</f>
        <v>3.5</v>
      </c>
      <c r="E486" s="2">
        <v>2.9220000000000002</v>
      </c>
      <c r="F486" s="2">
        <v>5.33</v>
      </c>
      <c r="G486" s="2">
        <v>1221</v>
      </c>
      <c r="H486" s="2">
        <v>4967.2299999999996</v>
      </c>
      <c r="I486" s="2">
        <v>6.28</v>
      </c>
      <c r="J486" s="2">
        <v>81.3</v>
      </c>
      <c r="K486" s="2">
        <f ca="1">IFERROR(__xludf.DUMMYFUNCTION("IF($A486="""","""", IFERROR(
  INDEX(
    FILTER(IMEX_VN!$B$2:$B$130, MONTH(IMEX_VN!$A$2:$A$130)=MONTH($A486), YEAR(IMEX_VN!$A$2:$A$130)=YEAR($A486)),
    1
  ),
""""))"),1.1)</f>
        <v>1.1000000000000001</v>
      </c>
      <c r="L486" s="6">
        <v>106</v>
      </c>
      <c r="M486" s="7">
        <v>88.2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8">
        <v>45403</v>
      </c>
      <c r="B487" s="9">
        <v>25330</v>
      </c>
      <c r="C487" s="2">
        <f ca="1">IFERROR(__xludf.DUMMYFUNCTION("IF($A487="""","""", IFERROR(
  INDEX(
    FILTER(CPI_VN!$C$2:$C$82, MONTH(CPI_VN!$A$2:$A$82)=MONTH($A487), YEAR(CPI_VN!$A$2:$A$82)=YEAR($A487)),
    1
  ),
""""))"),4.4)</f>
        <v>4.4000000000000004</v>
      </c>
      <c r="D487" s="2">
        <f ca="1">IFERROR(__xludf.DUMMYFUNCTION("IF($A487="""","""", IFERROR(
  INDEX(
    FILTER(CPI_US!$D$2:$D$130, MONTH(CPI_US!$A$2:$A$130)=MONTH($A487), YEAR(CPI_US!$A$2:$A$130)=YEAR($A487)),
    1
  ),
""""))"),3.5)</f>
        <v>3.5</v>
      </c>
      <c r="E487" s="2">
        <v>2.9</v>
      </c>
      <c r="F487" s="2">
        <v>5.33</v>
      </c>
      <c r="G487" s="2">
        <v>1244</v>
      </c>
      <c r="H487" s="2">
        <v>5099.96</v>
      </c>
      <c r="I487" s="2">
        <v>6.28</v>
      </c>
      <c r="J487" s="2">
        <v>81.3</v>
      </c>
      <c r="K487" s="2">
        <f ca="1">IFERROR(__xludf.DUMMYFUNCTION("IF($A487="""","""", IFERROR(
  INDEX(
    FILTER(IMEX_VN!$B$2:$B$130, MONTH(IMEX_VN!$A$2:$A$130)=MONTH($A487), YEAR(IMEX_VN!$A$2:$A$130)=YEAR($A487)),
    1
  ),
""""))"),1.1)</f>
        <v>1.1000000000000001</v>
      </c>
      <c r="L487" s="6">
        <v>106</v>
      </c>
      <c r="M487" s="7">
        <v>88.2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8">
        <v>45410</v>
      </c>
      <c r="B488" s="9">
        <v>25400</v>
      </c>
      <c r="C488" s="2">
        <f ca="1">IFERROR(__xludf.DUMMYFUNCTION("IF($A488="""","""", IFERROR(
  INDEX(
    FILTER(CPI_VN!$C$2:$C$82, MONTH(CPI_VN!$A$2:$A$82)=MONTH($A488), YEAR(CPI_VN!$A$2:$A$82)=YEAR($A488)),
    1
  ),
""""))"),4.4)</f>
        <v>4.4000000000000004</v>
      </c>
      <c r="D488" s="2">
        <f ca="1">IFERROR(__xludf.DUMMYFUNCTION("IF($A488="""","""", IFERROR(
  INDEX(
    FILTER(CPI_US!$D$2:$D$130, MONTH(CPI_US!$A$2:$A$130)=MONTH($A488), YEAR(CPI_US!$A$2:$A$130)=YEAR($A488)),
    1
  ),
""""))"),3.5)</f>
        <v>3.5</v>
      </c>
      <c r="E488" s="2">
        <v>2.9239999999999999</v>
      </c>
      <c r="F488" s="2">
        <v>5.33</v>
      </c>
      <c r="G488" s="2">
        <v>1273</v>
      </c>
      <c r="H488" s="2">
        <v>5127.79</v>
      </c>
      <c r="I488" s="2">
        <v>6.28</v>
      </c>
      <c r="J488" s="2">
        <v>81.3</v>
      </c>
      <c r="K488" s="2">
        <f ca="1">IFERROR(__xludf.DUMMYFUNCTION("IF($A488="""","""", IFERROR(
  INDEX(
    FILTER(IMEX_VN!$B$2:$B$130, MONTH(IMEX_VN!$A$2:$A$130)=MONTH($A488), YEAR(IMEX_VN!$A$2:$A$130)=YEAR($A488)),
    1
  ),
""""))"),1.1)</f>
        <v>1.1000000000000001</v>
      </c>
      <c r="L488" s="6">
        <v>105</v>
      </c>
      <c r="M488" s="7">
        <v>88.2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8">
        <v>45417</v>
      </c>
      <c r="B489" s="9">
        <v>25450</v>
      </c>
      <c r="C489" s="2">
        <f ca="1">IFERROR(__xludf.DUMMYFUNCTION("IF($A489="""","""", IFERROR(
  INDEX(
    FILTER(CPI_VN!$C$2:$C$82, MONTH(CPI_VN!$A$2:$A$82)=MONTH($A489), YEAR(CPI_VN!$A$2:$A$82)=YEAR($A489)),
    1
  ),
""""))"),4.44)</f>
        <v>4.4400000000000004</v>
      </c>
      <c r="D489" s="2">
        <f ca="1">IFERROR(__xludf.DUMMYFUNCTION("IF($A489="""","""", IFERROR(
  INDEX(
    FILTER(CPI_US!$D$2:$D$130, MONTH(CPI_US!$A$2:$A$130)=MONTH($A489), YEAR(CPI_US!$A$2:$A$130)=YEAR($A489)),
    1
  ),
""""))"),3.4)</f>
        <v>3.4</v>
      </c>
      <c r="E489" s="2">
        <v>2.8620000000000001</v>
      </c>
      <c r="F489" s="2">
        <v>5.33</v>
      </c>
      <c r="G489" s="2">
        <v>1261</v>
      </c>
      <c r="H489" s="2">
        <v>5222.68</v>
      </c>
      <c r="I489" s="2">
        <v>8.25</v>
      </c>
      <c r="J489" s="2">
        <v>81.3</v>
      </c>
      <c r="K489" s="2">
        <f ca="1">IFERROR(__xludf.DUMMYFUNCTION("IF($A489="""","""", IFERROR(
  INDEX(
    FILTER(IMEX_VN!$B$2:$B$130, MONTH(IMEX_VN!$A$2:$A$130)=MONTH($A489), YEAR(IMEX_VN!$A$2:$A$130)=YEAR($A489)),
    1
  ),
""""))"),-0.400000000000005)</f>
        <v>-0.40000000000000502</v>
      </c>
      <c r="L489" s="6">
        <v>105</v>
      </c>
      <c r="M489" s="7">
        <v>84.1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8">
        <v>45424</v>
      </c>
      <c r="B490" s="9">
        <v>25448</v>
      </c>
      <c r="C490" s="2">
        <f ca="1">IFERROR(__xludf.DUMMYFUNCTION("IF($A490="""","""", IFERROR(
  INDEX(
    FILTER(CPI_VN!$C$2:$C$82, MONTH(CPI_VN!$A$2:$A$82)=MONTH($A490), YEAR(CPI_VN!$A$2:$A$82)=YEAR($A490)),
    1
  ),
""""))"),4.44)</f>
        <v>4.4400000000000004</v>
      </c>
      <c r="D490" s="2">
        <f ca="1">IFERROR(__xludf.DUMMYFUNCTION("IF($A490="""","""", IFERROR(
  INDEX(
    FILTER(CPI_US!$D$2:$D$130, MONTH(CPI_US!$A$2:$A$130)=MONTH($A490), YEAR(CPI_US!$A$2:$A$130)=YEAR($A490)),
    1
  ),
""""))"),3.4)</f>
        <v>3.4</v>
      </c>
      <c r="E490" s="2">
        <v>2.8570000000000002</v>
      </c>
      <c r="F490" s="2">
        <v>5.33</v>
      </c>
      <c r="G490" s="2">
        <v>1261</v>
      </c>
      <c r="H490" s="2">
        <v>5303.27</v>
      </c>
      <c r="I490" s="2">
        <v>8.25</v>
      </c>
      <c r="J490" s="2">
        <v>81.3</v>
      </c>
      <c r="K490" s="2">
        <f ca="1">IFERROR(__xludf.DUMMYFUNCTION("IF($A490="""","""", IFERROR(
  INDEX(
    FILTER(IMEX_VN!$B$2:$B$130, MONTH(IMEX_VN!$A$2:$A$130)=MONTH($A490), YEAR(IMEX_VN!$A$2:$A$130)=YEAR($A490)),
    1
  ),
""""))"),-0.400000000000005)</f>
        <v>-0.40000000000000502</v>
      </c>
      <c r="L490" s="6">
        <v>104</v>
      </c>
      <c r="M490" s="7">
        <v>84.1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8">
        <v>45431</v>
      </c>
      <c r="B491" s="9">
        <v>25465</v>
      </c>
      <c r="C491" s="2">
        <f ca="1">IFERROR(__xludf.DUMMYFUNCTION("IF($A491="""","""", IFERROR(
  INDEX(
    FILTER(CPI_VN!$C$2:$C$82, MONTH(CPI_VN!$A$2:$A$82)=MONTH($A491), YEAR(CPI_VN!$A$2:$A$82)=YEAR($A491)),
    1
  ),
""""))"),4.44)</f>
        <v>4.4400000000000004</v>
      </c>
      <c r="D491" s="2">
        <f ca="1">IFERROR(__xludf.DUMMYFUNCTION("IF($A491="""","""", IFERROR(
  INDEX(
    FILTER(CPI_US!$D$2:$D$130, MONTH(CPI_US!$A$2:$A$130)=MONTH($A491), YEAR(CPI_US!$A$2:$A$130)=YEAR($A491)),
    1
  ),
""""))"),3.4)</f>
        <v>3.4</v>
      </c>
      <c r="E491" s="2">
        <v>3.0350000000000001</v>
      </c>
      <c r="F491" s="2">
        <v>5.33</v>
      </c>
      <c r="G491" s="2">
        <v>1287</v>
      </c>
      <c r="H491" s="2">
        <v>5304.72</v>
      </c>
      <c r="I491" s="2">
        <v>8.25</v>
      </c>
      <c r="J491" s="2">
        <v>81.3</v>
      </c>
      <c r="K491" s="2">
        <f ca="1">IFERROR(__xludf.DUMMYFUNCTION("IF($A491="""","""", IFERROR(
  INDEX(
    FILTER(IMEX_VN!$B$2:$B$130, MONTH(IMEX_VN!$A$2:$A$130)=MONTH($A491), YEAR(IMEX_VN!$A$2:$A$130)=YEAR($A491)),
    1
  ),
""""))"),-0.400000000000005)</f>
        <v>-0.40000000000000502</v>
      </c>
      <c r="L491" s="6">
        <v>105</v>
      </c>
      <c r="M491" s="7">
        <v>84.1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8">
        <v>45438</v>
      </c>
      <c r="B492" s="9">
        <v>25440</v>
      </c>
      <c r="C492" s="2">
        <f ca="1">IFERROR(__xludf.DUMMYFUNCTION("IF($A492="""","""", IFERROR(
  INDEX(
    FILTER(CPI_VN!$C$2:$C$82, MONTH(CPI_VN!$A$2:$A$82)=MONTH($A492), YEAR(CPI_VN!$A$2:$A$82)=YEAR($A492)),
    1
  ),
""""))"),4.44)</f>
        <v>4.4400000000000004</v>
      </c>
      <c r="D492" s="2">
        <f ca="1">IFERROR(__xludf.DUMMYFUNCTION("IF($A492="""","""", IFERROR(
  INDEX(
    FILTER(CPI_US!$D$2:$D$130, MONTH(CPI_US!$A$2:$A$130)=MONTH($A492), YEAR(CPI_US!$A$2:$A$130)=YEAR($A492)),
    1
  ),
""""))"),3.4)</f>
        <v>3.4</v>
      </c>
      <c r="E492" s="2">
        <v>2.948</v>
      </c>
      <c r="F492" s="2">
        <v>5.33</v>
      </c>
      <c r="G492" s="2">
        <v>1279</v>
      </c>
      <c r="H492" s="2">
        <v>5277.51</v>
      </c>
      <c r="I492" s="2">
        <v>8.25</v>
      </c>
      <c r="J492" s="2">
        <v>81.3</v>
      </c>
      <c r="K492" s="2">
        <f ca="1">IFERROR(__xludf.DUMMYFUNCTION("IF($A492="""","""", IFERROR(
  INDEX(
    FILTER(IMEX_VN!$B$2:$B$130, MONTH(IMEX_VN!$A$2:$A$130)=MONTH($A492), YEAR(IMEX_VN!$A$2:$A$130)=YEAR($A492)),
    1
  ),
""""))"),-0.400000000000005)</f>
        <v>-0.40000000000000502</v>
      </c>
      <c r="L492" s="6">
        <v>105</v>
      </c>
      <c r="M492" s="7">
        <v>84.1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8">
        <v>45445</v>
      </c>
      <c r="B493" s="9">
        <v>25400</v>
      </c>
      <c r="C493" s="2">
        <f ca="1">IFERROR(__xludf.DUMMYFUNCTION("IF($A493="""","""", IFERROR(
  INDEX(
    FILTER(CPI_VN!$C$2:$C$82, MONTH(CPI_VN!$A$2:$A$82)=MONTH($A493), YEAR(CPI_VN!$A$2:$A$82)=YEAR($A493)),
    1
  ),
""""))"),4.34)</f>
        <v>4.34</v>
      </c>
      <c r="D493" s="2">
        <f ca="1">IFERROR(__xludf.DUMMYFUNCTION("IF($A493="""","""", IFERROR(
  INDEX(
    FILTER(CPI_US!$D$2:$D$130, MONTH(CPI_US!$A$2:$A$130)=MONTH($A493), YEAR(CPI_US!$A$2:$A$130)=YEAR($A493)),
    1
  ),
""""))"),3.3)</f>
        <v>3.3</v>
      </c>
      <c r="E493" s="2">
        <v>2.9079999999999999</v>
      </c>
      <c r="F493" s="2">
        <v>5.33</v>
      </c>
      <c r="G493" s="2">
        <v>1282</v>
      </c>
      <c r="H493" s="2">
        <v>5346.99</v>
      </c>
      <c r="I493" s="2">
        <v>10.84</v>
      </c>
      <c r="J493" s="2">
        <v>81.3</v>
      </c>
      <c r="K493" s="2">
        <f ca="1">IFERROR(__xludf.DUMMYFUNCTION("IF($A493="""","""", IFERROR(
  INDEX(
    FILTER(IMEX_VN!$B$2:$B$130, MONTH(IMEX_VN!$A$2:$A$130)=MONTH($A493), YEAR(IMEX_VN!$A$2:$A$130)=YEAR($A493)),
    1
  ),
""""))"),3.2)</f>
        <v>3.2</v>
      </c>
      <c r="L493" s="6">
        <v>105</v>
      </c>
      <c r="M493" s="7">
        <v>82.9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8">
        <v>45452</v>
      </c>
      <c r="B494" s="9">
        <v>25450</v>
      </c>
      <c r="C494" s="2">
        <f ca="1">IFERROR(__xludf.DUMMYFUNCTION("IF($A494="""","""", IFERROR(
  INDEX(
    FILTER(CPI_VN!$C$2:$C$82, MONTH(CPI_VN!$A$2:$A$82)=MONTH($A494), YEAR(CPI_VN!$A$2:$A$82)=YEAR($A494)),
    1
  ),
""""))"),4.34)</f>
        <v>4.34</v>
      </c>
      <c r="D494" s="2">
        <f ca="1">IFERROR(__xludf.DUMMYFUNCTION("IF($A494="""","""", IFERROR(
  INDEX(
    FILTER(CPI_US!$D$2:$D$130, MONTH(CPI_US!$A$2:$A$130)=MONTH($A494), YEAR(CPI_US!$A$2:$A$130)=YEAR($A494)),
    1
  ),
""""))"),3.3)</f>
        <v>3.3</v>
      </c>
      <c r="E494" s="2">
        <v>2.9009999999999998</v>
      </c>
      <c r="F494" s="2">
        <v>5.33</v>
      </c>
      <c r="G494" s="2">
        <v>1245</v>
      </c>
      <c r="H494" s="2">
        <v>5431.6</v>
      </c>
      <c r="I494" s="2">
        <v>10.84</v>
      </c>
      <c r="J494" s="2">
        <v>81.3</v>
      </c>
      <c r="K494" s="2">
        <f ca="1">IFERROR(__xludf.DUMMYFUNCTION("IF($A494="""","""", IFERROR(
  INDEX(
    FILTER(IMEX_VN!$B$2:$B$130, MONTH(IMEX_VN!$A$2:$A$130)=MONTH($A494), YEAR(IMEX_VN!$A$2:$A$130)=YEAR($A494)),
    1
  ),
""""))"),3.2)</f>
        <v>3.2</v>
      </c>
      <c r="L494" s="6">
        <v>106</v>
      </c>
      <c r="M494" s="7">
        <v>82.9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8">
        <v>45459</v>
      </c>
      <c r="B495" s="9">
        <v>25450</v>
      </c>
      <c r="C495" s="2">
        <f ca="1">IFERROR(__xludf.DUMMYFUNCTION("IF($A495="""","""", IFERROR(
  INDEX(
    FILTER(CPI_VN!$C$2:$C$82, MONTH(CPI_VN!$A$2:$A$82)=MONTH($A495), YEAR(CPI_VN!$A$2:$A$82)=YEAR($A495)),
    1
  ),
""""))"),4.34)</f>
        <v>4.34</v>
      </c>
      <c r="D495" s="2">
        <f ca="1">IFERROR(__xludf.DUMMYFUNCTION("IF($A495="""","""", IFERROR(
  INDEX(
    FILTER(CPI_US!$D$2:$D$130, MONTH(CPI_US!$A$2:$A$130)=MONTH($A495), YEAR(CPI_US!$A$2:$A$130)=YEAR($A495)),
    1
  ),
""""))"),3.3)</f>
        <v>3.3</v>
      </c>
      <c r="E495" s="2">
        <v>2.863</v>
      </c>
      <c r="F495" s="2">
        <v>5.33</v>
      </c>
      <c r="G495" s="2">
        <v>1283</v>
      </c>
      <c r="H495" s="2">
        <v>5464.62</v>
      </c>
      <c r="I495" s="2">
        <v>10.84</v>
      </c>
      <c r="J495" s="2">
        <v>81.3</v>
      </c>
      <c r="K495" s="2">
        <f ca="1">IFERROR(__xludf.DUMMYFUNCTION("IF($A495="""","""", IFERROR(
  INDEX(
    FILTER(IMEX_VN!$B$2:$B$130, MONTH(IMEX_VN!$A$2:$A$130)=MONTH($A495), YEAR(IMEX_VN!$A$2:$A$130)=YEAR($A495)),
    1
  ),
""""))"),3.2)</f>
        <v>3.2</v>
      </c>
      <c r="L495" s="6">
        <v>106</v>
      </c>
      <c r="M495" s="7">
        <v>82.9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8">
        <v>45466</v>
      </c>
      <c r="B496" s="9">
        <v>25445</v>
      </c>
      <c r="C496" s="2">
        <f ca="1">IFERROR(__xludf.DUMMYFUNCTION("IF($A496="""","""", IFERROR(
  INDEX(
    FILTER(CPI_VN!$C$2:$C$82, MONTH(CPI_VN!$A$2:$A$82)=MONTH($A496), YEAR(CPI_VN!$A$2:$A$82)=YEAR($A496)),
    1
  ),
""""))"),4.34)</f>
        <v>4.34</v>
      </c>
      <c r="D496" s="2">
        <f ca="1">IFERROR(__xludf.DUMMYFUNCTION("IF($A496="""","""", IFERROR(
  INDEX(
    FILTER(CPI_US!$D$2:$D$130, MONTH(CPI_US!$A$2:$A$130)=MONTH($A496), YEAR(CPI_US!$A$2:$A$130)=YEAR($A496)),
    1
  ),
""""))"),3.3)</f>
        <v>3.3</v>
      </c>
      <c r="E496" s="2">
        <v>2.8849999999999998</v>
      </c>
      <c r="F496" s="2">
        <v>5.33</v>
      </c>
      <c r="G496" s="2">
        <v>1280</v>
      </c>
      <c r="H496" s="2">
        <v>5460.48</v>
      </c>
      <c r="I496" s="2">
        <v>10.84</v>
      </c>
      <c r="J496" s="2">
        <v>81.3</v>
      </c>
      <c r="K496" s="2">
        <f ca="1">IFERROR(__xludf.DUMMYFUNCTION("IF($A496="""","""", IFERROR(
  INDEX(
    FILTER(IMEX_VN!$B$2:$B$130, MONTH(IMEX_VN!$A$2:$A$130)=MONTH($A496), YEAR(IMEX_VN!$A$2:$A$130)=YEAR($A496)),
    1
  ),
""""))"),3.2)</f>
        <v>3.2</v>
      </c>
      <c r="L496" s="6">
        <v>106</v>
      </c>
      <c r="M496" s="7">
        <v>82.9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8">
        <v>45473</v>
      </c>
      <c r="B497" s="9">
        <v>25412</v>
      </c>
      <c r="C497" s="2">
        <f ca="1">IFERROR(__xludf.DUMMYFUNCTION("IF($A497="""","""", IFERROR(
  INDEX(
    FILTER(CPI_VN!$C$2:$C$82, MONTH(CPI_VN!$A$2:$A$82)=MONTH($A497), YEAR(CPI_VN!$A$2:$A$82)=YEAR($A497)),
    1
  ),
""""))"),4.34)</f>
        <v>4.34</v>
      </c>
      <c r="D497" s="2">
        <f ca="1">IFERROR(__xludf.DUMMYFUNCTION("IF($A497="""","""", IFERROR(
  INDEX(
    FILTER(CPI_US!$D$2:$D$130, MONTH(CPI_US!$A$2:$A$130)=MONTH($A497), YEAR(CPI_US!$A$2:$A$130)=YEAR($A497)),
    1
  ),
""""))"),3.3)</f>
        <v>3.3</v>
      </c>
      <c r="E497" s="2">
        <v>2.8740000000000001</v>
      </c>
      <c r="F497" s="2">
        <v>5.33</v>
      </c>
      <c r="G497" s="2">
        <v>1264</v>
      </c>
      <c r="H497" s="2">
        <v>5567.19</v>
      </c>
      <c r="I497" s="2">
        <v>10.84</v>
      </c>
      <c r="J497" s="2">
        <v>81.3</v>
      </c>
      <c r="K497" s="2">
        <f ca="1">IFERROR(__xludf.DUMMYFUNCTION("IF($A497="""","""", IFERROR(
  INDEX(
    FILTER(IMEX_VN!$B$2:$B$130, MONTH(IMEX_VN!$A$2:$A$130)=MONTH($A497), YEAR(IMEX_VN!$A$2:$A$130)=YEAR($A497)),
    1
  ),
""""))"),3.2)</f>
        <v>3.2</v>
      </c>
      <c r="L497" s="6">
        <v>105</v>
      </c>
      <c r="M497" s="7">
        <v>82.9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8">
        <v>45480</v>
      </c>
      <c r="B498" s="9">
        <v>25410</v>
      </c>
      <c r="C498" s="2">
        <f ca="1">IFERROR(__xludf.DUMMYFUNCTION("IF($A498="""","""", IFERROR(
  INDEX(
    FILTER(CPI_VN!$C$2:$C$82, MONTH(CPI_VN!$A$2:$A$82)=MONTH($A498), YEAR(CPI_VN!$A$2:$A$82)=YEAR($A498)),
    1
  ),
""""))"),4.36)</f>
        <v>4.3600000000000003</v>
      </c>
      <c r="D498" s="2">
        <f ca="1">IFERROR(__xludf.DUMMYFUNCTION("IF($A498="""","""", IFERROR(
  INDEX(
    FILTER(CPI_US!$D$2:$D$130, MONTH(CPI_US!$A$2:$A$130)=MONTH($A498), YEAR(CPI_US!$A$2:$A$130)=YEAR($A498)),
    1
  ),
""""))"),3)</f>
        <v>3</v>
      </c>
      <c r="E498" s="2">
        <v>2.8940000000000001</v>
      </c>
      <c r="F498" s="2">
        <v>5.33</v>
      </c>
      <c r="G498" s="2">
        <v>1242</v>
      </c>
      <c r="H498" s="2">
        <v>5615.35</v>
      </c>
      <c r="I498" s="2">
        <v>12.55</v>
      </c>
      <c r="J498" s="2">
        <v>75.5</v>
      </c>
      <c r="K498" s="2">
        <f ca="1">IFERROR(__xludf.DUMMYFUNCTION("IF($A498="""","""", IFERROR(
  INDEX(
    FILTER(IMEX_VN!$B$2:$B$130, MONTH(IMEX_VN!$A$2:$A$130)=MONTH($A498), YEAR(IMEX_VN!$A$2:$A$130)=YEAR($A498)),
    1
  ),
""""))"),2.3)</f>
        <v>2.2999999999999998</v>
      </c>
      <c r="L498" s="6">
        <v>104</v>
      </c>
      <c r="M498" s="7">
        <v>81.2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8">
        <v>45487</v>
      </c>
      <c r="B499" s="9">
        <v>25315</v>
      </c>
      <c r="C499" s="2">
        <f ca="1">IFERROR(__xludf.DUMMYFUNCTION("IF($A499="""","""", IFERROR(
  INDEX(
    FILTER(CPI_VN!$C$2:$C$82, MONTH(CPI_VN!$A$2:$A$82)=MONTH($A499), YEAR(CPI_VN!$A$2:$A$82)=YEAR($A499)),
    1
  ),
""""))"),4.36)</f>
        <v>4.3600000000000003</v>
      </c>
      <c r="D499" s="2">
        <f ca="1">IFERROR(__xludf.DUMMYFUNCTION("IF($A499="""","""", IFERROR(
  INDEX(
    FILTER(CPI_US!$D$2:$D$130, MONTH(CPI_US!$A$2:$A$130)=MONTH($A499), YEAR(CPI_US!$A$2:$A$130)=YEAR($A499)),
    1
  ),
""""))"),3)</f>
        <v>3</v>
      </c>
      <c r="E499" s="2">
        <v>2.895</v>
      </c>
      <c r="F499" s="2">
        <v>5.33</v>
      </c>
      <c r="G499" s="2">
        <v>1236</v>
      </c>
      <c r="H499" s="2">
        <v>5505</v>
      </c>
      <c r="I499" s="2">
        <v>12.55</v>
      </c>
      <c r="J499" s="2">
        <v>75.5</v>
      </c>
      <c r="K499" s="2">
        <f ca="1">IFERROR(__xludf.DUMMYFUNCTION("IF($A499="""","""", IFERROR(
  INDEX(
    FILTER(IMEX_VN!$B$2:$B$130, MONTH(IMEX_VN!$A$2:$A$130)=MONTH($A499), YEAR(IMEX_VN!$A$2:$A$130)=YEAR($A499)),
    1
  ),
""""))"),2.3)</f>
        <v>2.2999999999999998</v>
      </c>
      <c r="L499" s="6">
        <v>104</v>
      </c>
      <c r="M499" s="7">
        <v>81.2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8">
        <v>45494</v>
      </c>
      <c r="B500" s="9">
        <v>25300</v>
      </c>
      <c r="C500" s="2">
        <f ca="1">IFERROR(__xludf.DUMMYFUNCTION("IF($A500="""","""", IFERROR(
  INDEX(
    FILTER(CPI_VN!$C$2:$C$82, MONTH(CPI_VN!$A$2:$A$82)=MONTH($A500), YEAR(CPI_VN!$A$2:$A$82)=YEAR($A500)),
    1
  ),
""""))"),4.36)</f>
        <v>4.3600000000000003</v>
      </c>
      <c r="D500" s="2">
        <f ca="1">IFERROR(__xludf.DUMMYFUNCTION("IF($A500="""","""", IFERROR(
  INDEX(
    FILTER(CPI_US!$D$2:$D$130, MONTH(CPI_US!$A$2:$A$130)=MONTH($A500), YEAR(CPI_US!$A$2:$A$130)=YEAR($A500)),
    1
  ),
""""))"),3)</f>
        <v>3</v>
      </c>
      <c r="E500" s="2">
        <v>2.8969999999999998</v>
      </c>
      <c r="F500" s="2">
        <v>5.33</v>
      </c>
      <c r="G500" s="2">
        <v>1223</v>
      </c>
      <c r="H500" s="2">
        <v>5459.1</v>
      </c>
      <c r="I500" s="2">
        <v>12.55</v>
      </c>
      <c r="J500" s="2">
        <v>75.5</v>
      </c>
      <c r="K500" s="2">
        <f ca="1">IFERROR(__xludf.DUMMYFUNCTION("IF($A500="""","""", IFERROR(
  INDEX(
    FILTER(IMEX_VN!$B$2:$B$130, MONTH(IMEX_VN!$A$2:$A$130)=MONTH($A500), YEAR(IMEX_VN!$A$2:$A$130)=YEAR($A500)),
    1
  ),
""""))"),2.3)</f>
        <v>2.2999999999999998</v>
      </c>
      <c r="L500" s="6">
        <v>104</v>
      </c>
      <c r="M500" s="7">
        <v>81.2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8">
        <v>45501</v>
      </c>
      <c r="B501" s="9">
        <v>25205</v>
      </c>
      <c r="C501" s="2">
        <f ca="1">IFERROR(__xludf.DUMMYFUNCTION("IF($A501="""","""", IFERROR(
  INDEX(
    FILTER(CPI_VN!$C$2:$C$82, MONTH(CPI_VN!$A$2:$A$82)=MONTH($A501), YEAR(CPI_VN!$A$2:$A$82)=YEAR($A501)),
    1
  ),
""""))"),4.36)</f>
        <v>4.3600000000000003</v>
      </c>
      <c r="D501" s="2">
        <f ca="1">IFERROR(__xludf.DUMMYFUNCTION("IF($A501="""","""", IFERROR(
  INDEX(
    FILTER(CPI_US!$D$2:$D$130, MONTH(CPI_US!$A$2:$A$130)=MONTH($A501), YEAR(CPI_US!$A$2:$A$130)=YEAR($A501)),
    1
  ),
""""))"),3)</f>
        <v>3</v>
      </c>
      <c r="E501" s="2">
        <v>2.899</v>
      </c>
      <c r="F501" s="2">
        <v>5.33</v>
      </c>
      <c r="G501" s="2">
        <v>1252</v>
      </c>
      <c r="H501" s="2">
        <v>5346.56</v>
      </c>
      <c r="I501" s="2">
        <v>12.55</v>
      </c>
      <c r="J501" s="2">
        <v>75.5</v>
      </c>
      <c r="K501" s="2">
        <f ca="1">IFERROR(__xludf.DUMMYFUNCTION("IF($A501="""","""", IFERROR(
  INDEX(
    FILTER(IMEX_VN!$B$2:$B$130, MONTH(IMEX_VN!$A$2:$A$130)=MONTH($A501), YEAR(IMEX_VN!$A$2:$A$130)=YEAR($A501)),
    1
  ),
""""))"),2.3)</f>
        <v>2.2999999999999998</v>
      </c>
      <c r="L501" s="6">
        <v>103</v>
      </c>
      <c r="M501" s="7">
        <v>81.2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8">
        <v>45508</v>
      </c>
      <c r="B502" s="9">
        <v>25090</v>
      </c>
      <c r="C502" s="2">
        <f ca="1">IFERROR(__xludf.DUMMYFUNCTION("IF($A502="""","""", IFERROR(
  INDEX(
    FILTER(CPI_VN!$C$2:$C$82, MONTH(CPI_VN!$A$2:$A$82)=MONTH($A502), YEAR(CPI_VN!$A$2:$A$82)=YEAR($A502)),
    1
  ),
""""))"),3.45)</f>
        <v>3.45</v>
      </c>
      <c r="D502" s="2">
        <f ca="1">IFERROR(__xludf.DUMMYFUNCTION("IF($A502="""","""", IFERROR(
  INDEX(
    FILTER(CPI_US!$D$2:$D$130, MONTH(CPI_US!$A$2:$A$130)=MONTH($A502), YEAR(CPI_US!$A$2:$A$130)=YEAR($A502)),
    1
  ),
""""))"),2.9)</f>
        <v>2.9</v>
      </c>
      <c r="E502" s="2">
        <v>2.8679999999999999</v>
      </c>
      <c r="F502" s="2">
        <v>5.33</v>
      </c>
      <c r="G502" s="2">
        <v>1285</v>
      </c>
      <c r="H502" s="2">
        <v>5344.16</v>
      </c>
      <c r="I502" s="2">
        <v>14.15</v>
      </c>
      <c r="J502" s="2">
        <v>75.5</v>
      </c>
      <c r="K502" s="2">
        <f ca="1">IFERROR(__xludf.DUMMYFUNCTION("IF($A502="""","""", IFERROR(
  INDEX(
    FILTER(IMEX_VN!$B$2:$B$130, MONTH(IMEX_VN!$A$2:$A$130)=MONTH($A502), YEAR(IMEX_VN!$A$2:$A$130)=YEAR($A502)),
    1
  ),
""""))"),4.09999999999999)</f>
        <v>4.0999999999999899</v>
      </c>
      <c r="L502" s="6">
        <v>103</v>
      </c>
      <c r="M502" s="7">
        <v>82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8">
        <v>45515</v>
      </c>
      <c r="B503" s="9">
        <v>25050</v>
      </c>
      <c r="C503" s="2">
        <f ca="1">IFERROR(__xludf.DUMMYFUNCTION("IF($A503="""","""", IFERROR(
  INDEX(
    FILTER(CPI_VN!$C$2:$C$82, MONTH(CPI_VN!$A$2:$A$82)=MONTH($A503), YEAR(CPI_VN!$A$2:$A$82)=YEAR($A503)),
    1
  ),
""""))"),3.45)</f>
        <v>3.45</v>
      </c>
      <c r="D503" s="2">
        <f ca="1">IFERROR(__xludf.DUMMYFUNCTION("IF($A503="""","""", IFERROR(
  INDEX(
    FILTER(CPI_US!$D$2:$D$130, MONTH(CPI_US!$A$2:$A$130)=MONTH($A503), YEAR(CPI_US!$A$2:$A$130)=YEAR($A503)),
    1
  ),
""""))"),2.9)</f>
        <v>2.9</v>
      </c>
      <c r="E503" s="2">
        <v>2.8380000000000001</v>
      </c>
      <c r="F503" s="2">
        <v>5.33</v>
      </c>
      <c r="G503" s="2">
        <v>1283</v>
      </c>
      <c r="H503" s="2">
        <v>5554.25</v>
      </c>
      <c r="I503" s="2">
        <v>14.15</v>
      </c>
      <c r="J503" s="2">
        <v>75.5</v>
      </c>
      <c r="K503" s="2">
        <f ca="1">IFERROR(__xludf.DUMMYFUNCTION("IF($A503="""","""", IFERROR(
  INDEX(
    FILTER(IMEX_VN!$B$2:$B$130, MONTH(IMEX_VN!$A$2:$A$130)=MONTH($A503), YEAR(IMEX_VN!$A$2:$A$130)=YEAR($A503)),
    1
  ),
""""))"),4.09999999999999)</f>
        <v>4.0999999999999899</v>
      </c>
      <c r="L503" s="6">
        <v>102</v>
      </c>
      <c r="M503" s="7">
        <v>82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8">
        <v>45522</v>
      </c>
      <c r="B504" s="9">
        <v>24965</v>
      </c>
      <c r="C504" s="2">
        <f ca="1">IFERROR(__xludf.DUMMYFUNCTION("IF($A504="""","""", IFERROR(
  INDEX(
    FILTER(CPI_VN!$C$2:$C$82, MONTH(CPI_VN!$A$2:$A$82)=MONTH($A504), YEAR(CPI_VN!$A$2:$A$82)=YEAR($A504)),
    1
  ),
""""))"),3.45)</f>
        <v>3.45</v>
      </c>
      <c r="D504" s="2">
        <f ca="1">IFERROR(__xludf.DUMMYFUNCTION("IF($A504="""","""", IFERROR(
  INDEX(
    FILTER(CPI_US!$D$2:$D$130, MONTH(CPI_US!$A$2:$A$130)=MONTH($A504), YEAR(CPI_US!$A$2:$A$130)=YEAR($A504)),
    1
  ),
""""))"),2.9)</f>
        <v>2.9</v>
      </c>
      <c r="E504" s="2">
        <v>2.8239999999999998</v>
      </c>
      <c r="F504" s="2">
        <v>5.33</v>
      </c>
      <c r="G504" s="2">
        <v>1273</v>
      </c>
      <c r="H504" s="2">
        <v>5634.61</v>
      </c>
      <c r="I504" s="2">
        <v>14.15</v>
      </c>
      <c r="J504" s="2">
        <v>75.5</v>
      </c>
      <c r="K504" s="2">
        <f ca="1">IFERROR(__xludf.DUMMYFUNCTION("IF($A504="""","""", IFERROR(
  INDEX(
    FILTER(IMEX_VN!$B$2:$B$130, MONTH(IMEX_VN!$A$2:$A$130)=MONTH($A504), YEAR(IMEX_VN!$A$2:$A$130)=YEAR($A504)),
    1
  ),
""""))"),4.09999999999999)</f>
        <v>4.0999999999999899</v>
      </c>
      <c r="L504" s="6">
        <v>101</v>
      </c>
      <c r="M504" s="7">
        <v>82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8">
        <v>45529</v>
      </c>
      <c r="B505" s="9">
        <v>24860</v>
      </c>
      <c r="C505" s="2">
        <f ca="1">IFERROR(__xludf.DUMMYFUNCTION("IF($A505="""","""", IFERROR(
  INDEX(
    FILTER(CPI_VN!$C$2:$C$82, MONTH(CPI_VN!$A$2:$A$82)=MONTH($A505), YEAR(CPI_VN!$A$2:$A$82)=YEAR($A505)),
    1
  ),
""""))"),3.45)</f>
        <v>3.45</v>
      </c>
      <c r="D505" s="2">
        <f ca="1">IFERROR(__xludf.DUMMYFUNCTION("IF($A505="""","""", IFERROR(
  INDEX(
    FILTER(CPI_US!$D$2:$D$130, MONTH(CPI_US!$A$2:$A$130)=MONTH($A505), YEAR(CPI_US!$A$2:$A$130)=YEAR($A505)),
    1
  ),
""""))"),2.9)</f>
        <v>2.9</v>
      </c>
      <c r="E505" s="2">
        <v>2.83</v>
      </c>
      <c r="F505" s="2">
        <v>5.33</v>
      </c>
      <c r="G505" s="2">
        <v>1251</v>
      </c>
      <c r="H505" s="2">
        <v>5648.4</v>
      </c>
      <c r="I505" s="2">
        <v>14.15</v>
      </c>
      <c r="J505" s="2">
        <v>75.5</v>
      </c>
      <c r="K505" s="2">
        <f ca="1">IFERROR(__xludf.DUMMYFUNCTION("IF($A505="""","""", IFERROR(
  INDEX(
    FILTER(IMEX_VN!$B$2:$B$130, MONTH(IMEX_VN!$A$2:$A$130)=MONTH($A505), YEAR(IMEX_VN!$A$2:$A$130)=YEAR($A505)),
    1
  ),
""""))"),4.09999999999999)</f>
        <v>4.0999999999999899</v>
      </c>
      <c r="L505" s="6">
        <v>102</v>
      </c>
      <c r="M505" s="7">
        <v>82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8">
        <v>45536</v>
      </c>
      <c r="B506" s="9">
        <v>24600</v>
      </c>
      <c r="C506" s="2">
        <f ca="1">IFERROR(__xludf.DUMMYFUNCTION("IF($A506="""","""", IFERROR(
  INDEX(
    FILTER(CPI_VN!$C$2:$C$82, MONTH(CPI_VN!$A$2:$A$82)=MONTH($A506), YEAR(CPI_VN!$A$2:$A$82)=YEAR($A506)),
    1
  ),
""""))"),2.63)</f>
        <v>2.63</v>
      </c>
      <c r="D506" s="2">
        <f ca="1">IFERROR(__xludf.DUMMYFUNCTION("IF($A506="""","""", IFERROR(
  INDEX(
    FILTER(CPI_US!$D$2:$D$130, MONTH(CPI_US!$A$2:$A$130)=MONTH($A506), YEAR(CPI_US!$A$2:$A$130)=YEAR($A506)),
    1
  ),
""""))"),2.5)</f>
        <v>2.5</v>
      </c>
      <c r="E506" s="2">
        <v>2.827</v>
      </c>
      <c r="F506" s="2">
        <v>5.33</v>
      </c>
      <c r="G506" s="2">
        <v>1272</v>
      </c>
      <c r="H506" s="2">
        <v>5408.42</v>
      </c>
      <c r="I506" s="2">
        <v>17.3</v>
      </c>
      <c r="J506" s="2">
        <v>75.5</v>
      </c>
      <c r="K506" s="2">
        <f ca="1">IFERROR(__xludf.DUMMYFUNCTION("IF($A506="""","""", IFERROR(
  INDEX(
    FILTER(IMEX_VN!$B$2:$B$130, MONTH(IMEX_VN!$A$2:$A$130)=MONTH($A506), YEAR(IMEX_VN!$A$2:$A$130)=YEAR($A506)),
    1
  ),
""""))"),2.3)</f>
        <v>2.2999999999999998</v>
      </c>
      <c r="L506" s="6">
        <v>101</v>
      </c>
      <c r="M506" s="7">
        <v>82.3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8">
        <v>45543</v>
      </c>
      <c r="B507" s="9">
        <v>24530</v>
      </c>
      <c r="C507" s="2">
        <f ca="1">IFERROR(__xludf.DUMMYFUNCTION("IF($A507="""","""", IFERROR(
  INDEX(
    FILTER(CPI_VN!$C$2:$C$82, MONTH(CPI_VN!$A$2:$A$82)=MONTH($A507), YEAR(CPI_VN!$A$2:$A$82)=YEAR($A507)),
    1
  ),
""""))"),2.63)</f>
        <v>2.63</v>
      </c>
      <c r="D507" s="2">
        <f ca="1">IFERROR(__xludf.DUMMYFUNCTION("IF($A507="""","""", IFERROR(
  INDEX(
    FILTER(CPI_US!$D$2:$D$130, MONTH(CPI_US!$A$2:$A$130)=MONTH($A507), YEAR(CPI_US!$A$2:$A$130)=YEAR($A507)),
    1
  ),
""""))"),2.5)</f>
        <v>2.5</v>
      </c>
      <c r="E507" s="2">
        <v>2.802</v>
      </c>
      <c r="F507" s="2">
        <v>5.33</v>
      </c>
      <c r="G507" s="2">
        <v>1290</v>
      </c>
      <c r="H507" s="2">
        <v>5626.02</v>
      </c>
      <c r="I507" s="2">
        <v>17.3</v>
      </c>
      <c r="J507" s="2">
        <v>75.5</v>
      </c>
      <c r="K507" s="2">
        <f ca="1">IFERROR(__xludf.DUMMYFUNCTION("IF($A507="""","""", IFERROR(
  INDEX(
    FILTER(IMEX_VN!$B$2:$B$130, MONTH(IMEX_VN!$A$2:$A$130)=MONTH($A507), YEAR(IMEX_VN!$A$2:$A$130)=YEAR($A507)),
    1
  ),
""""))"),2.3)</f>
        <v>2.2999999999999998</v>
      </c>
      <c r="L507" s="6">
        <v>101</v>
      </c>
      <c r="M507" s="7">
        <v>82.3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8">
        <v>45550</v>
      </c>
      <c r="B508" s="9">
        <v>24590</v>
      </c>
      <c r="C508" s="2">
        <f ca="1">IFERROR(__xludf.DUMMYFUNCTION("IF($A508="""","""", IFERROR(
  INDEX(
    FILTER(CPI_VN!$C$2:$C$82, MONTH(CPI_VN!$A$2:$A$82)=MONTH($A508), YEAR(CPI_VN!$A$2:$A$82)=YEAR($A508)),
    1
  ),
""""))"),2.63)</f>
        <v>2.63</v>
      </c>
      <c r="D508" s="2">
        <f ca="1">IFERROR(__xludf.DUMMYFUNCTION("IF($A508="""","""", IFERROR(
  INDEX(
    FILTER(CPI_US!$D$2:$D$130, MONTH(CPI_US!$A$2:$A$130)=MONTH($A508), YEAR(CPI_US!$A$2:$A$130)=YEAR($A508)),
    1
  ),
""""))"),2.5)</f>
        <v>2.5</v>
      </c>
      <c r="E508" s="2">
        <v>2.7709999999999999</v>
      </c>
      <c r="F508" s="2">
        <v>5.33</v>
      </c>
      <c r="G508" s="2">
        <v>1270</v>
      </c>
      <c r="H508" s="2">
        <v>5702.55</v>
      </c>
      <c r="I508" s="2">
        <v>17.3</v>
      </c>
      <c r="J508" s="2">
        <v>75.5</v>
      </c>
      <c r="K508" s="2">
        <f ca="1">IFERROR(__xludf.DUMMYFUNCTION("IF($A508="""","""", IFERROR(
  INDEX(
    FILTER(IMEX_VN!$B$2:$B$130, MONTH(IMEX_VN!$A$2:$A$130)=MONTH($A508), YEAR(IMEX_VN!$A$2:$A$130)=YEAR($A508)),
    1
  ),
""""))"),2.3)</f>
        <v>2.2999999999999998</v>
      </c>
      <c r="L508" s="6">
        <v>101</v>
      </c>
      <c r="M508" s="7">
        <v>82.3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8">
        <v>45557</v>
      </c>
      <c r="B509" s="9">
        <v>24590</v>
      </c>
      <c r="C509" s="2">
        <f ca="1">IFERROR(__xludf.DUMMYFUNCTION("IF($A509="""","""", IFERROR(
  INDEX(
    FILTER(CPI_VN!$C$2:$C$82, MONTH(CPI_VN!$A$2:$A$82)=MONTH($A509), YEAR(CPI_VN!$A$2:$A$82)=YEAR($A509)),
    1
  ),
""""))"),2.63)</f>
        <v>2.63</v>
      </c>
      <c r="D509" s="2">
        <f ca="1">IFERROR(__xludf.DUMMYFUNCTION("IF($A509="""","""", IFERROR(
  INDEX(
    FILTER(CPI_US!$D$2:$D$130, MONTH(CPI_US!$A$2:$A$130)=MONTH($A509), YEAR(CPI_US!$A$2:$A$130)=YEAR($A509)),
    1
  ),
""""))"),2.5)</f>
        <v>2.5</v>
      </c>
      <c r="E509" s="2">
        <v>2.75</v>
      </c>
      <c r="F509" s="2">
        <v>4.83</v>
      </c>
      <c r="G509" s="2">
        <v>1288</v>
      </c>
      <c r="H509" s="2">
        <v>5738.17</v>
      </c>
      <c r="I509" s="2">
        <v>17.3</v>
      </c>
      <c r="J509" s="2">
        <v>75.5</v>
      </c>
      <c r="K509" s="2">
        <f ca="1">IFERROR(__xludf.DUMMYFUNCTION("IF($A509="""","""", IFERROR(
  INDEX(
    FILTER(IMEX_VN!$B$2:$B$130, MONTH(IMEX_VN!$A$2:$A$130)=MONTH($A509), YEAR(IMEX_VN!$A$2:$A$130)=YEAR($A509)),
    1
  ),
""""))"),2.3)</f>
        <v>2.2999999999999998</v>
      </c>
      <c r="L509" s="6">
        <v>100</v>
      </c>
      <c r="M509" s="7">
        <v>82.3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8">
        <v>45564</v>
      </c>
      <c r="B510" s="9">
        <v>24755</v>
      </c>
      <c r="C510" s="2">
        <f ca="1">IFERROR(__xludf.DUMMYFUNCTION("IF($A510="""","""", IFERROR(
  INDEX(
    FILTER(CPI_VN!$C$2:$C$82, MONTH(CPI_VN!$A$2:$A$82)=MONTH($A510), YEAR(CPI_VN!$A$2:$A$82)=YEAR($A510)),
    1
  ),
""""))"),2.63)</f>
        <v>2.63</v>
      </c>
      <c r="D510" s="2">
        <f ca="1">IFERROR(__xludf.DUMMYFUNCTION("IF($A510="""","""", IFERROR(
  INDEX(
    FILTER(CPI_US!$D$2:$D$130, MONTH(CPI_US!$A$2:$A$130)=MONTH($A510), YEAR(CPI_US!$A$2:$A$130)=YEAR($A510)),
    1
  ),
""""))"),2.5)</f>
        <v>2.5</v>
      </c>
      <c r="E510" s="2">
        <v>2.7679999999999998</v>
      </c>
      <c r="F510" s="2">
        <v>4.83</v>
      </c>
      <c r="G510" s="2">
        <v>1285</v>
      </c>
      <c r="H510" s="2">
        <v>5751.07</v>
      </c>
      <c r="I510" s="2">
        <v>17.3</v>
      </c>
      <c r="J510" s="2">
        <v>75.5</v>
      </c>
      <c r="K510" s="2">
        <f ca="1">IFERROR(__xludf.DUMMYFUNCTION("IF($A510="""","""", IFERROR(
  INDEX(
    FILTER(IMEX_VN!$B$2:$B$130, MONTH(IMEX_VN!$A$2:$A$130)=MONTH($A510), YEAR(IMEX_VN!$A$2:$A$130)=YEAR($A510)),
    1
  ),
""""))"),2.3)</f>
        <v>2.2999999999999998</v>
      </c>
      <c r="L510" s="6">
        <v>103</v>
      </c>
      <c r="M510" s="7">
        <v>82.3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8">
        <v>45571</v>
      </c>
      <c r="B511" s="9">
        <v>24805</v>
      </c>
      <c r="C511" s="2">
        <f ca="1">IFERROR(__xludf.DUMMYFUNCTION("IF($A511="""","""", IFERROR(
  INDEX(
    FILTER(CPI_VN!$C$2:$C$82, MONTH(CPI_VN!$A$2:$A$82)=MONTH($A511), YEAR(CPI_VN!$A$2:$A$82)=YEAR($A511)),
    1
  ),
""""))"),2.89)</f>
        <v>2.89</v>
      </c>
      <c r="D511" s="2">
        <f ca="1">IFERROR(__xludf.DUMMYFUNCTION("IF($A511="""","""", IFERROR(
  INDEX(
    FILTER(CPI_US!$D$2:$D$130, MONTH(CPI_US!$A$2:$A$130)=MONTH($A511), YEAR(CPI_US!$A$2:$A$130)=YEAR($A511)),
    1
  ),
""""))"),2.4)</f>
        <v>2.4</v>
      </c>
      <c r="E511" s="2">
        <v>2.7570000000000001</v>
      </c>
      <c r="F511" s="2">
        <v>4.83</v>
      </c>
      <c r="G511" s="2">
        <v>1252</v>
      </c>
      <c r="H511" s="2">
        <v>5815.03</v>
      </c>
      <c r="I511" s="2">
        <v>19.579999999999998</v>
      </c>
      <c r="J511" s="2">
        <v>77.7</v>
      </c>
      <c r="K511" s="2">
        <f ca="1">IFERROR(__xludf.DUMMYFUNCTION("IF($A511="""","""", IFERROR(
  INDEX(
    FILTER(IMEX_VN!$B$2:$B$130, MONTH(IMEX_VN!$A$2:$A$130)=MONTH($A511), YEAR(IMEX_VN!$A$2:$A$130)=YEAR($A511)),
    1
  ),
""""))"),2)</f>
        <v>2</v>
      </c>
      <c r="L511" s="6">
        <v>103</v>
      </c>
      <c r="M511" s="7">
        <v>82.5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8">
        <v>45578</v>
      </c>
      <c r="B512" s="9">
        <v>25150</v>
      </c>
      <c r="C512" s="2">
        <f ca="1">IFERROR(__xludf.DUMMYFUNCTION("IF($A512="""","""", IFERROR(
  INDEX(
    FILTER(CPI_VN!$C$2:$C$82, MONTH(CPI_VN!$A$2:$A$82)=MONTH($A512), YEAR(CPI_VN!$A$2:$A$82)=YEAR($A512)),
    1
  ),
""""))"),2.89)</f>
        <v>2.89</v>
      </c>
      <c r="D512" s="2">
        <f ca="1">IFERROR(__xludf.DUMMYFUNCTION("IF($A512="""","""", IFERROR(
  INDEX(
    FILTER(CPI_US!$D$2:$D$130, MONTH(CPI_US!$A$2:$A$130)=MONTH($A512), YEAR(CPI_US!$A$2:$A$130)=YEAR($A512)),
    1
  ),
""""))"),2.4)</f>
        <v>2.4</v>
      </c>
      <c r="E512" s="2">
        <v>2.758</v>
      </c>
      <c r="F512" s="2">
        <v>4.83</v>
      </c>
      <c r="G512" s="2">
        <v>1254</v>
      </c>
      <c r="H512" s="2">
        <v>5864.67</v>
      </c>
      <c r="I512" s="2">
        <v>19.579999999999998</v>
      </c>
      <c r="J512" s="2">
        <v>77.7</v>
      </c>
      <c r="K512" s="2">
        <f ca="1">IFERROR(__xludf.DUMMYFUNCTION("IF($A512="""","""", IFERROR(
  INDEX(
    FILTER(IMEX_VN!$B$2:$B$130, MONTH(IMEX_VN!$A$2:$A$130)=MONTH($A512), YEAR(IMEX_VN!$A$2:$A$130)=YEAR($A512)),
    1
  ),
""""))"),2)</f>
        <v>2</v>
      </c>
      <c r="L512" s="6">
        <v>103</v>
      </c>
      <c r="M512" s="7">
        <v>82.5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8">
        <v>45585</v>
      </c>
      <c r="B513" s="9">
        <v>25355</v>
      </c>
      <c r="C513" s="2">
        <f ca="1">IFERROR(__xludf.DUMMYFUNCTION("IF($A513="""","""", IFERROR(
  INDEX(
    FILTER(CPI_VN!$C$2:$C$82, MONTH(CPI_VN!$A$2:$A$82)=MONTH($A513), YEAR(CPI_VN!$A$2:$A$82)=YEAR($A513)),
    1
  ),
""""))"),2.89)</f>
        <v>2.89</v>
      </c>
      <c r="D513" s="2">
        <f ca="1">IFERROR(__xludf.DUMMYFUNCTION("IF($A513="""","""", IFERROR(
  INDEX(
    FILTER(CPI_US!$D$2:$D$130, MONTH(CPI_US!$A$2:$A$130)=MONTH($A513), YEAR(CPI_US!$A$2:$A$130)=YEAR($A513)),
    1
  ),
""""))"),2.4)</f>
        <v>2.4</v>
      </c>
      <c r="E513" s="2">
        <v>2.7959999999999998</v>
      </c>
      <c r="F513" s="2">
        <v>4.83</v>
      </c>
      <c r="G513" s="2">
        <v>1252</v>
      </c>
      <c r="H513" s="2">
        <v>5808.12</v>
      </c>
      <c r="I513" s="2">
        <v>19.579999999999998</v>
      </c>
      <c r="J513" s="2">
        <v>77.7</v>
      </c>
      <c r="K513" s="2">
        <f ca="1">IFERROR(__xludf.DUMMYFUNCTION("IF($A513="""","""", IFERROR(
  INDEX(
    FILTER(IMEX_VN!$B$2:$B$130, MONTH(IMEX_VN!$A$2:$A$130)=MONTH($A513), YEAR(IMEX_VN!$A$2:$A$130)=YEAR($A513)),
    1
  ),
""""))"),2)</f>
        <v>2</v>
      </c>
      <c r="L513" s="6">
        <v>104</v>
      </c>
      <c r="M513" s="7">
        <v>82.5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8">
        <v>45592</v>
      </c>
      <c r="B514" s="9">
        <v>25280</v>
      </c>
      <c r="C514" s="2">
        <f ca="1">IFERROR(__xludf.DUMMYFUNCTION("IF($A514="""","""", IFERROR(
  INDEX(
    FILTER(CPI_VN!$C$2:$C$82, MONTH(CPI_VN!$A$2:$A$82)=MONTH($A514), YEAR(CPI_VN!$A$2:$A$82)=YEAR($A514)),
    1
  ),
""""))"),2.89)</f>
        <v>2.89</v>
      </c>
      <c r="D514" s="2">
        <f ca="1">IFERROR(__xludf.DUMMYFUNCTION("IF($A514="""","""", IFERROR(
  INDEX(
    FILTER(CPI_US!$D$2:$D$130, MONTH(CPI_US!$A$2:$A$130)=MONTH($A514), YEAR(CPI_US!$A$2:$A$130)=YEAR($A514)),
    1
  ),
""""))"),2.4)</f>
        <v>2.4</v>
      </c>
      <c r="E514" s="2">
        <v>2.8159999999999998</v>
      </c>
      <c r="F514" s="2">
        <v>4.83</v>
      </c>
      <c r="G514" s="2">
        <v>1218</v>
      </c>
      <c r="H514" s="2">
        <v>5728.8</v>
      </c>
      <c r="I514" s="2">
        <v>19.579999999999998</v>
      </c>
      <c r="J514" s="2">
        <v>77.7</v>
      </c>
      <c r="K514" s="2">
        <f ca="1">IFERROR(__xludf.DUMMYFUNCTION("IF($A514="""","""", IFERROR(
  INDEX(
    FILTER(IMEX_VN!$B$2:$B$130, MONTH(IMEX_VN!$A$2:$A$130)=MONTH($A514), YEAR(IMEX_VN!$A$2:$A$130)=YEAR($A514)),
    1
  ),
""""))"),2)</f>
        <v>2</v>
      </c>
      <c r="L514" s="6">
        <v>104</v>
      </c>
      <c r="M514" s="7">
        <v>82.5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8">
        <v>45599</v>
      </c>
      <c r="B515" s="9">
        <v>25260</v>
      </c>
      <c r="C515" s="2">
        <f ca="1">IFERROR(__xludf.DUMMYFUNCTION("IF($A515="""","""", IFERROR(
  INDEX(
    FILTER(CPI_VN!$C$2:$C$82, MONTH(CPI_VN!$A$2:$A$82)=MONTH($A515), YEAR(CPI_VN!$A$2:$A$82)=YEAR($A515)),
    1
  ),
""""))"),2.77)</f>
        <v>2.77</v>
      </c>
      <c r="D515" s="2">
        <f ca="1">IFERROR(__xludf.DUMMYFUNCTION("IF($A515="""","""", IFERROR(
  INDEX(
    FILTER(CPI_US!$D$2:$D$130, MONTH(CPI_US!$A$2:$A$130)=MONTH($A515), YEAR(CPI_US!$A$2:$A$130)=YEAR($A515)),
    1
  ),
""""))"),2.6)</f>
        <v>2.6</v>
      </c>
      <c r="E515" s="2">
        <v>2.843</v>
      </c>
      <c r="F515" s="2">
        <v>4.83</v>
      </c>
      <c r="G515" s="2">
        <v>1228</v>
      </c>
      <c r="H515" s="2">
        <v>5995.54</v>
      </c>
      <c r="I515" s="2">
        <v>21.68</v>
      </c>
      <c r="J515" s="2">
        <v>77.7</v>
      </c>
      <c r="K515" s="2">
        <f ca="1">IFERROR(__xludf.DUMMYFUNCTION("IF($A515="""","""", IFERROR(
  INDEX(
    FILTER(IMEX_VN!$B$2:$B$130, MONTH(IMEX_VN!$A$2:$A$130)=MONTH($A515), YEAR(IMEX_VN!$A$2:$A$130)=YEAR($A515)),
    1
  ),
""""))"),1)</f>
        <v>1</v>
      </c>
      <c r="L515" s="6">
        <v>105</v>
      </c>
      <c r="M515" s="7">
        <v>82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8">
        <v>45606</v>
      </c>
      <c r="B516" s="9">
        <v>25380</v>
      </c>
      <c r="C516" s="2">
        <f ca="1">IFERROR(__xludf.DUMMYFUNCTION("IF($A516="""","""", IFERROR(
  INDEX(
    FILTER(CPI_VN!$C$2:$C$82, MONTH(CPI_VN!$A$2:$A$82)=MONTH($A516), YEAR(CPI_VN!$A$2:$A$82)=YEAR($A516)),
    1
  ),
""""))"),2.77)</f>
        <v>2.77</v>
      </c>
      <c r="D516" s="2">
        <f ca="1">IFERROR(__xludf.DUMMYFUNCTION("IF($A516="""","""", IFERROR(
  INDEX(
    FILTER(CPI_US!$D$2:$D$130, MONTH(CPI_US!$A$2:$A$130)=MONTH($A516), YEAR(CPI_US!$A$2:$A$130)=YEAR($A516)),
    1
  ),
""""))"),2.6)</f>
        <v>2.6</v>
      </c>
      <c r="E516" s="2">
        <v>2.859</v>
      </c>
      <c r="F516" s="2">
        <v>4.58</v>
      </c>
      <c r="G516" s="2">
        <v>1250</v>
      </c>
      <c r="H516" s="2">
        <v>5870.62</v>
      </c>
      <c r="I516" s="2">
        <v>21.68</v>
      </c>
      <c r="J516" s="2">
        <v>77.7</v>
      </c>
      <c r="K516" s="2">
        <f ca="1">IFERROR(__xludf.DUMMYFUNCTION("IF($A516="""","""", IFERROR(
  INDEX(
    FILTER(IMEX_VN!$B$2:$B$130, MONTH(IMEX_VN!$A$2:$A$130)=MONTH($A516), YEAR(IMEX_VN!$A$2:$A$130)=YEAR($A516)),
    1
  ),
""""))"),1)</f>
        <v>1</v>
      </c>
      <c r="L516" s="6">
        <v>107</v>
      </c>
      <c r="M516" s="7">
        <v>82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8">
        <v>45613</v>
      </c>
      <c r="B517" s="9">
        <v>25417</v>
      </c>
      <c r="C517" s="2">
        <f ca="1">IFERROR(__xludf.DUMMYFUNCTION("IF($A517="""","""", IFERROR(
  INDEX(
    FILTER(CPI_VN!$C$2:$C$82, MONTH(CPI_VN!$A$2:$A$82)=MONTH($A517), YEAR(CPI_VN!$A$2:$A$82)=YEAR($A517)),
    1
  ),
""""))"),2.77)</f>
        <v>2.77</v>
      </c>
      <c r="D517" s="2">
        <f ca="1">IFERROR(__xludf.DUMMYFUNCTION("IF($A517="""","""", IFERROR(
  INDEX(
    FILTER(CPI_US!$D$2:$D$130, MONTH(CPI_US!$A$2:$A$130)=MONTH($A517), YEAR(CPI_US!$A$2:$A$130)=YEAR($A517)),
    1
  ),
""""))"),2.6)</f>
        <v>2.6</v>
      </c>
      <c r="E517" s="2">
        <v>2.87</v>
      </c>
      <c r="F517" s="2">
        <v>4.58</v>
      </c>
      <c r="G517" s="2">
        <v>1270</v>
      </c>
      <c r="H517" s="2">
        <v>5969.34</v>
      </c>
      <c r="I517" s="2">
        <v>21.68</v>
      </c>
      <c r="J517" s="2">
        <v>77.7</v>
      </c>
      <c r="K517" s="2">
        <f ca="1">IFERROR(__xludf.DUMMYFUNCTION("IF($A517="""","""", IFERROR(
  INDEX(
    FILTER(IMEX_VN!$B$2:$B$130, MONTH(IMEX_VN!$A$2:$A$130)=MONTH($A517), YEAR(IMEX_VN!$A$2:$A$130)=YEAR($A517)),
    1
  ),
""""))"),1)</f>
        <v>1</v>
      </c>
      <c r="L517" s="6">
        <v>108</v>
      </c>
      <c r="M517" s="7">
        <v>82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8">
        <v>45620</v>
      </c>
      <c r="B518" s="9">
        <v>25344</v>
      </c>
      <c r="C518" s="2">
        <f ca="1">IFERROR(__xludf.DUMMYFUNCTION("IF($A518="""","""", IFERROR(
  INDEX(
    FILTER(CPI_VN!$C$2:$C$82, MONTH(CPI_VN!$A$2:$A$82)=MONTH($A518), YEAR(CPI_VN!$A$2:$A$82)=YEAR($A518)),
    1
  ),
""""))"),2.77)</f>
        <v>2.77</v>
      </c>
      <c r="D518" s="2">
        <f ca="1">IFERROR(__xludf.DUMMYFUNCTION("IF($A518="""","""", IFERROR(
  INDEX(
    FILTER(CPI_US!$D$2:$D$130, MONTH(CPI_US!$A$2:$A$130)=MONTH($A518), YEAR(CPI_US!$A$2:$A$130)=YEAR($A518)),
    1
  ),
""""))"),2.6)</f>
        <v>2.6</v>
      </c>
      <c r="E518" s="2">
        <v>2.8690000000000002</v>
      </c>
      <c r="F518" s="2">
        <v>4.58</v>
      </c>
      <c r="G518" s="2">
        <v>1262</v>
      </c>
      <c r="H518" s="2">
        <v>6032.38</v>
      </c>
      <c r="I518" s="2">
        <v>21.68</v>
      </c>
      <c r="J518" s="2">
        <v>77.7</v>
      </c>
      <c r="K518" s="2">
        <f ca="1">IFERROR(__xludf.DUMMYFUNCTION("IF($A518="""","""", IFERROR(
  INDEX(
    FILTER(IMEX_VN!$B$2:$B$130, MONTH(IMEX_VN!$A$2:$A$130)=MONTH($A518), YEAR(IMEX_VN!$A$2:$A$130)=YEAR($A518)),
    1
  ),
""""))"),1)</f>
        <v>1</v>
      </c>
      <c r="L518" s="6">
        <v>106</v>
      </c>
      <c r="M518" s="7">
        <v>82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8">
        <v>45627</v>
      </c>
      <c r="B519" s="9">
        <v>25375</v>
      </c>
      <c r="C519" s="2">
        <f ca="1">IFERROR(__xludf.DUMMYFUNCTION("IF($A519="""","""", IFERROR(
  INDEX(
    FILTER(CPI_VN!$C$2:$C$82, MONTH(CPI_VN!$A$2:$A$82)=MONTH($A519), YEAR(CPI_VN!$A$2:$A$82)=YEAR($A519)),
    1
  ),
""""))"),2.94)</f>
        <v>2.94</v>
      </c>
      <c r="D519" s="2">
        <f ca="1">IFERROR(__xludf.DUMMYFUNCTION("IF($A519="""","""", IFERROR(
  INDEX(
    FILTER(CPI_US!$D$2:$D$130, MONTH(CPI_US!$A$2:$A$130)=MONTH($A519), YEAR(CPI_US!$A$2:$A$130)=YEAR($A519)),
    1
  ),
""""))"),2.7)</f>
        <v>2.7</v>
      </c>
      <c r="E519" s="2">
        <v>2.9060000000000001</v>
      </c>
      <c r="F519" s="2">
        <v>4.58</v>
      </c>
      <c r="G519" s="2">
        <v>1257</v>
      </c>
      <c r="H519" s="2">
        <v>6090.27</v>
      </c>
      <c r="I519" s="2">
        <v>25.35</v>
      </c>
      <c r="J519" s="2">
        <v>77.7</v>
      </c>
      <c r="K519" s="2">
        <f ca="1">IFERROR(__xludf.DUMMYFUNCTION("IF($A519="""","""", IFERROR(
  INDEX(
    FILTER(IMEX_VN!$B$2:$B$130, MONTH(IMEX_VN!$A$2:$A$130)=MONTH($A519), YEAR(IMEX_VN!$A$2:$A$130)=YEAR($A519)),
    1
  ),
""""))"),0.5)</f>
        <v>0.5</v>
      </c>
      <c r="L519" s="6">
        <v>106</v>
      </c>
      <c r="M519" s="7">
        <v>81.2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8">
        <v>45634</v>
      </c>
      <c r="B520" s="9">
        <v>25400</v>
      </c>
      <c r="C520" s="2">
        <f ca="1">IFERROR(__xludf.DUMMYFUNCTION("IF($A520="""","""", IFERROR(
  INDEX(
    FILTER(CPI_VN!$C$2:$C$82, MONTH(CPI_VN!$A$2:$A$82)=MONTH($A520), YEAR(CPI_VN!$A$2:$A$82)=YEAR($A520)),
    1
  ),
""""))"),2.94)</f>
        <v>2.94</v>
      </c>
      <c r="D520" s="2">
        <f ca="1">IFERROR(__xludf.DUMMYFUNCTION("IF($A520="""","""", IFERROR(
  INDEX(
    FILTER(CPI_US!$D$2:$D$130, MONTH(CPI_US!$A$2:$A$130)=MONTH($A520), YEAR(CPI_US!$A$2:$A$130)=YEAR($A520)),
    1
  ),
""""))"),2.7)</f>
        <v>2.7</v>
      </c>
      <c r="E520" s="2">
        <v>2.9569999999999999</v>
      </c>
      <c r="F520" s="2">
        <v>4.58</v>
      </c>
      <c r="G520" s="2">
        <v>1275</v>
      </c>
      <c r="H520" s="2">
        <v>6051.09</v>
      </c>
      <c r="I520" s="2">
        <v>25.35</v>
      </c>
      <c r="J520" s="2">
        <v>77.7</v>
      </c>
      <c r="K520" s="2">
        <f ca="1">IFERROR(__xludf.DUMMYFUNCTION("IF($A520="""","""", IFERROR(
  INDEX(
    FILTER(IMEX_VN!$B$2:$B$130, MONTH(IMEX_VN!$A$2:$A$130)=MONTH($A520), YEAR(IMEX_VN!$A$2:$A$130)=YEAR($A520)),
    1
  ),
""""))"),0.5)</f>
        <v>0.5</v>
      </c>
      <c r="L520" s="6">
        <v>107</v>
      </c>
      <c r="M520" s="7">
        <v>81.2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8">
        <v>45641</v>
      </c>
      <c r="B521" s="9">
        <v>25445</v>
      </c>
      <c r="C521" s="2">
        <f ca="1">IFERROR(__xludf.DUMMYFUNCTION("IF($A521="""","""", IFERROR(
  INDEX(
    FILTER(CPI_VN!$C$2:$C$82, MONTH(CPI_VN!$A$2:$A$82)=MONTH($A521), YEAR(CPI_VN!$A$2:$A$82)=YEAR($A521)),
    1
  ),
""""))"),2.94)</f>
        <v>2.94</v>
      </c>
      <c r="D521" s="2">
        <f ca="1">IFERROR(__xludf.DUMMYFUNCTION("IF($A521="""","""", IFERROR(
  INDEX(
    FILTER(CPI_US!$D$2:$D$130, MONTH(CPI_US!$A$2:$A$130)=MONTH($A521), YEAR(CPI_US!$A$2:$A$130)=YEAR($A521)),
    1
  ),
""""))"),2.7)</f>
        <v>2.7</v>
      </c>
      <c r="E521" s="2">
        <v>3.097</v>
      </c>
      <c r="F521" s="2">
        <v>4.58</v>
      </c>
      <c r="G521" s="2">
        <v>1254</v>
      </c>
      <c r="H521" s="2">
        <v>5930.85</v>
      </c>
      <c r="I521" s="2">
        <v>25.35</v>
      </c>
      <c r="J521" s="2">
        <v>77.7</v>
      </c>
      <c r="K521" s="2">
        <f ca="1">IFERROR(__xludf.DUMMYFUNCTION("IF($A521="""","""", IFERROR(
  INDEX(
    FILTER(IMEX_VN!$B$2:$B$130, MONTH(IMEX_VN!$A$2:$A$130)=MONTH($A521), YEAR(IMEX_VN!$A$2:$A$130)=YEAR($A521)),
    1
  ),
""""))"),0.5)</f>
        <v>0.5</v>
      </c>
      <c r="L521" s="6">
        <v>108</v>
      </c>
      <c r="M521" s="7">
        <v>81.2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8">
        <v>45648</v>
      </c>
      <c r="B522" s="9">
        <v>25445</v>
      </c>
      <c r="C522" s="2">
        <f ca="1">IFERROR(__xludf.DUMMYFUNCTION("IF($A522="""","""", IFERROR(
  INDEX(
    FILTER(CPI_VN!$C$2:$C$82, MONTH(CPI_VN!$A$2:$A$82)=MONTH($A522), YEAR(CPI_VN!$A$2:$A$82)=YEAR($A522)),
    1
  ),
""""))"),2.94)</f>
        <v>2.94</v>
      </c>
      <c r="D522" s="2">
        <f ca="1">IFERROR(__xludf.DUMMYFUNCTION("IF($A522="""","""", IFERROR(
  INDEX(
    FILTER(CPI_US!$D$2:$D$130, MONTH(CPI_US!$A$2:$A$130)=MONTH($A522), YEAR(CPI_US!$A$2:$A$130)=YEAR($A522)),
    1
  ),
""""))"),2.7)</f>
        <v>2.7</v>
      </c>
      <c r="E522" s="2">
        <v>3.109</v>
      </c>
      <c r="F522" s="2">
        <v>4.33</v>
      </c>
      <c r="G522" s="2">
        <v>1230</v>
      </c>
      <c r="H522" s="2">
        <v>5970.84</v>
      </c>
      <c r="I522" s="2">
        <v>25.35</v>
      </c>
      <c r="J522" s="2">
        <v>77.7</v>
      </c>
      <c r="K522" s="2">
        <f ca="1">IFERROR(__xludf.DUMMYFUNCTION("IF($A522="""","""", IFERROR(
  INDEX(
    FILTER(IMEX_VN!$B$2:$B$130, MONTH(IMEX_VN!$A$2:$A$130)=MONTH($A522), YEAR(IMEX_VN!$A$2:$A$130)=YEAR($A522)),
    1
  ),
""""))"),0.5)</f>
        <v>0.5</v>
      </c>
      <c r="L522" s="6">
        <v>108</v>
      </c>
      <c r="M522" s="7">
        <v>81.2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8">
        <v>45655</v>
      </c>
      <c r="B523" s="9">
        <v>25400</v>
      </c>
      <c r="C523" s="2">
        <f ca="1">IFERROR(__xludf.DUMMYFUNCTION("IF($A523="""","""", IFERROR(
  INDEX(
    FILTER(CPI_VN!$C$2:$C$82, MONTH(CPI_VN!$A$2:$A$82)=MONTH($A523), YEAR(CPI_VN!$A$2:$A$82)=YEAR($A523)),
    1
  ),
""""))"),2.94)</f>
        <v>2.94</v>
      </c>
      <c r="D523" s="2">
        <f ca="1">IFERROR(__xludf.DUMMYFUNCTION("IF($A523="""","""", IFERROR(
  INDEX(
    FILTER(CPI_US!$D$2:$D$130, MONTH(CPI_US!$A$2:$A$130)=MONTH($A523), YEAR(CPI_US!$A$2:$A$130)=YEAR($A523)),
    1
  ),
""""))"),2.7)</f>
        <v>2.7</v>
      </c>
      <c r="E523" s="2">
        <v>3.113</v>
      </c>
      <c r="F523" s="2">
        <v>4.33</v>
      </c>
      <c r="G523" s="2">
        <v>1249</v>
      </c>
      <c r="H523" s="2">
        <v>5942.47</v>
      </c>
      <c r="I523" s="2">
        <v>25.35</v>
      </c>
      <c r="J523" s="2">
        <v>77.7</v>
      </c>
      <c r="K523" s="2">
        <f ca="1">IFERROR(__xludf.DUMMYFUNCTION("IF($A523="""","""", IFERROR(
  INDEX(
    FILTER(IMEX_VN!$B$2:$B$130, MONTH(IMEX_VN!$A$2:$A$130)=MONTH($A523), YEAR(IMEX_VN!$A$2:$A$130)=YEAR($A523)),
    1
  ),
""""))"),0.5)</f>
        <v>0.5</v>
      </c>
      <c r="L523" s="6">
        <v>109</v>
      </c>
      <c r="M523" s="7">
        <v>81.2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8">
        <v>45662</v>
      </c>
      <c r="B524" s="9">
        <v>25360</v>
      </c>
      <c r="C524" s="2">
        <f ca="1">IFERROR(__xludf.DUMMYFUNCTION("IF($A524="""","""", IFERROR(
  INDEX(
    FILTER(CPI_VN!$C$2:$C$82, MONTH(CPI_VN!$A$2:$A$82)=MONTH($A524), YEAR(CPI_VN!$A$2:$A$82)=YEAR($A524)),
    1
  ),
""""))"),3.63)</f>
        <v>3.63</v>
      </c>
      <c r="D524" s="2">
        <f ca="1">IFERROR(__xludf.DUMMYFUNCTION("IF($A524="""","""", IFERROR(
  INDEX(
    FILTER(CPI_US!$D$2:$D$130, MONTH(CPI_US!$A$2:$A$130)=MONTH($A524), YEAR(CPI_US!$A$2:$A$130)=YEAR($A524)),
    1
  ),
""""))"),2.9)</f>
        <v>2.9</v>
      </c>
      <c r="E524" s="2">
        <v>3.153</v>
      </c>
      <c r="F524" s="2">
        <v>4.33</v>
      </c>
      <c r="G524" s="2">
        <v>1265</v>
      </c>
      <c r="H524" s="2">
        <v>5827.04</v>
      </c>
      <c r="I524" s="2">
        <v>1.51</v>
      </c>
      <c r="J524" s="2">
        <v>66.7</v>
      </c>
      <c r="K524" s="2">
        <f ca="1">IFERROR(__xludf.DUMMYFUNCTION("IF($A524="""","""", IFERROR(
  INDEX(
    FILTER(IMEX_VN!$B$2:$B$130, MONTH(IMEX_VN!$A$2:$A$130)=MONTH($A524), YEAR(IMEX_VN!$A$2:$A$130)=YEAR($A524)),
    1
  ),
""""))"),3.1)</f>
        <v>3.1</v>
      </c>
      <c r="L524" s="6">
        <v>110</v>
      </c>
      <c r="M524" s="7">
        <v>79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8">
        <v>45669</v>
      </c>
      <c r="B525" s="9">
        <v>25315</v>
      </c>
      <c r="C525" s="2">
        <f ca="1">IFERROR(__xludf.DUMMYFUNCTION("IF($A525="""","""", IFERROR(
  INDEX(
    FILTER(CPI_VN!$C$2:$C$82, MONTH(CPI_VN!$A$2:$A$82)=MONTH($A525), YEAR(CPI_VN!$A$2:$A$82)=YEAR($A525)),
    1
  ),
""""))"),3.63)</f>
        <v>3.63</v>
      </c>
      <c r="D525" s="2">
        <f ca="1">IFERROR(__xludf.DUMMYFUNCTION("IF($A525="""","""", IFERROR(
  INDEX(
    FILTER(CPI_US!$D$2:$D$130, MONTH(CPI_US!$A$2:$A$130)=MONTH($A525), YEAR(CPI_US!$A$2:$A$130)=YEAR($A525)),
    1
  ),
""""))"),2.9)</f>
        <v>2.9</v>
      </c>
      <c r="E525" s="2">
        <v>3.1760000000000002</v>
      </c>
      <c r="F525" s="2">
        <v>4.33</v>
      </c>
      <c r="G525" s="2">
        <v>1275</v>
      </c>
      <c r="H525" s="2">
        <v>5996.66</v>
      </c>
      <c r="I525" s="2">
        <v>1.51</v>
      </c>
      <c r="J525" s="2">
        <v>66.7</v>
      </c>
      <c r="K525" s="2">
        <f ca="1">IFERROR(__xludf.DUMMYFUNCTION("IF($A525="""","""", IFERROR(
  INDEX(
    FILTER(IMEX_VN!$B$2:$B$130, MONTH(IMEX_VN!$A$2:$A$130)=MONTH($A525), YEAR(IMEX_VN!$A$2:$A$130)=YEAR($A525)),
    1
  ),
""""))"),3.1)</f>
        <v>3.1</v>
      </c>
      <c r="L525" s="6">
        <v>109</v>
      </c>
      <c r="M525" s="7">
        <v>79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8">
        <v>45676</v>
      </c>
      <c r="B526" s="9">
        <v>25060</v>
      </c>
      <c r="C526" s="2">
        <f ca="1">IFERROR(__xludf.DUMMYFUNCTION("IF($A526="""","""", IFERROR(
  INDEX(
    FILTER(CPI_VN!$C$2:$C$82, MONTH(CPI_VN!$A$2:$A$82)=MONTH($A526), YEAR(CPI_VN!$A$2:$A$82)=YEAR($A526)),
    1
  ),
""""))"),3.63)</f>
        <v>3.63</v>
      </c>
      <c r="D526" s="2">
        <f ca="1">IFERROR(__xludf.DUMMYFUNCTION("IF($A526="""","""", IFERROR(
  INDEX(
    FILTER(CPI_US!$D$2:$D$130, MONTH(CPI_US!$A$2:$A$130)=MONTH($A526), YEAR(CPI_US!$A$2:$A$130)=YEAR($A526)),
    1
  ),
""""))"),2.9)</f>
        <v>2.9</v>
      </c>
      <c r="E526" s="2">
        <v>3.1070000000000002</v>
      </c>
      <c r="F526" s="2">
        <v>4.33</v>
      </c>
      <c r="G526" s="2">
        <v>1276</v>
      </c>
      <c r="H526" s="2">
        <v>6101.24</v>
      </c>
      <c r="I526" s="2">
        <v>1.51</v>
      </c>
      <c r="J526" s="2">
        <v>66.7</v>
      </c>
      <c r="K526" s="2">
        <f ca="1">IFERROR(__xludf.DUMMYFUNCTION("IF($A526="""","""", IFERROR(
  INDEX(
    FILTER(IMEX_VN!$B$2:$B$130, MONTH(IMEX_VN!$A$2:$A$130)=MONTH($A526), YEAR(IMEX_VN!$A$2:$A$130)=YEAR($A526)),
    1
  ),
""""))"),3.1)</f>
        <v>3.1</v>
      </c>
      <c r="L526" s="6">
        <v>107</v>
      </c>
      <c r="M526" s="7">
        <v>79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8">
        <v>45683</v>
      </c>
      <c r="B527" s="9">
        <v>25060</v>
      </c>
      <c r="C527" s="2">
        <f ca="1">IFERROR(__xludf.DUMMYFUNCTION("IF($A527="""","""", IFERROR(
  INDEX(
    FILTER(CPI_VN!$C$2:$C$82, MONTH(CPI_VN!$A$2:$A$82)=MONTH($A527), YEAR(CPI_VN!$A$2:$A$82)=YEAR($A527)),
    1
  ),
""""))"),3.63)</f>
        <v>3.63</v>
      </c>
      <c r="D527" s="2">
        <f ca="1">IFERROR(__xludf.DUMMYFUNCTION("IF($A527="""","""", IFERROR(
  INDEX(
    FILTER(CPI_US!$D$2:$D$130, MONTH(CPI_US!$A$2:$A$130)=MONTH($A527), YEAR(CPI_US!$A$2:$A$130)=YEAR($A527)),
    1
  ),
""""))"),2.9)</f>
        <v>2.9</v>
      </c>
      <c r="E527" s="2">
        <v>3.1280000000000001</v>
      </c>
      <c r="F527" s="2">
        <v>4.33</v>
      </c>
      <c r="G527" s="2">
        <v>1296</v>
      </c>
      <c r="H527" s="2">
        <v>6040.53</v>
      </c>
      <c r="I527" s="2">
        <v>1.51</v>
      </c>
      <c r="J527" s="2">
        <v>66.7</v>
      </c>
      <c r="K527" s="2">
        <f ca="1">IFERROR(__xludf.DUMMYFUNCTION("IF($A527="""","""", IFERROR(
  INDEX(
    FILTER(IMEX_VN!$B$2:$B$130, MONTH(IMEX_VN!$A$2:$A$130)=MONTH($A527), YEAR(IMEX_VN!$A$2:$A$130)=YEAR($A527)),
    1
  ),
""""))"),3.1)</f>
        <v>3.1</v>
      </c>
      <c r="L527" s="6">
        <v>108</v>
      </c>
      <c r="M527" s="7">
        <v>79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8">
        <v>45690</v>
      </c>
      <c r="B528" s="9">
        <v>25290</v>
      </c>
      <c r="C528" s="2">
        <f ca="1">IFERROR(__xludf.DUMMYFUNCTION("IF($A528="""","""", IFERROR(
  INDEX(
    FILTER(CPI_VN!$C$2:$C$82, MONTH(CPI_VN!$A$2:$A$82)=MONTH($A528), YEAR(CPI_VN!$A$2:$A$82)=YEAR($A528)),
    1
  ),
""""))"),2.91)</f>
        <v>2.91</v>
      </c>
      <c r="D528" s="2">
        <f ca="1">IFERROR(__xludf.DUMMYFUNCTION("IF($A528="""","""", IFERROR(
  INDEX(
    FILTER(CPI_US!$D$2:$D$130, MONTH(CPI_US!$A$2:$A$130)=MONTH($A528), YEAR(CPI_US!$A$2:$A$130)=YEAR($A528)),
    1
  ),
""""))"),3)</f>
        <v>3</v>
      </c>
      <c r="E528" s="2">
        <v>3.2160000000000002</v>
      </c>
      <c r="F528" s="2">
        <v>4.33</v>
      </c>
      <c r="G528" s="2">
        <v>1305</v>
      </c>
      <c r="H528" s="2">
        <v>6025.99</v>
      </c>
      <c r="I528" s="2">
        <v>2.95</v>
      </c>
      <c r="J528" s="2">
        <v>66.7</v>
      </c>
      <c r="K528" s="2">
        <f ca="1">IFERROR(__xludf.DUMMYFUNCTION("IF($A528="""","""", IFERROR(
  INDEX(
    FILTER(IMEX_VN!$B$2:$B$130, MONTH(IMEX_VN!$A$2:$A$130)=MONTH($A528), YEAR(IMEX_VN!$A$2:$A$130)=YEAR($A528)),
    1
  ),
""""))"),-1.6)</f>
        <v>-1.6</v>
      </c>
      <c r="L528" s="6">
        <v>108</v>
      </c>
      <c r="M528" s="7">
        <v>79.5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8">
        <v>45697</v>
      </c>
      <c r="B529" s="9">
        <v>25370</v>
      </c>
      <c r="C529" s="2">
        <f ca="1">IFERROR(__xludf.DUMMYFUNCTION("IF($A529="""","""", IFERROR(
  INDEX(
    FILTER(CPI_VN!$C$2:$C$82, MONTH(CPI_VN!$A$2:$A$82)=MONTH($A529), YEAR(CPI_VN!$A$2:$A$82)=YEAR($A529)),
    1
  ),
""""))"),2.91)</f>
        <v>2.91</v>
      </c>
      <c r="D529" s="2">
        <f ca="1">IFERROR(__xludf.DUMMYFUNCTION("IF($A529="""","""", IFERROR(
  INDEX(
    FILTER(CPI_US!$D$2:$D$130, MONTH(CPI_US!$A$2:$A$130)=MONTH($A529), YEAR(CPI_US!$A$2:$A$130)=YEAR($A529)),
    1
  ),
""""))"),3)</f>
        <v>3</v>
      </c>
      <c r="E529" s="2">
        <v>3.2120000000000002</v>
      </c>
      <c r="F529" s="2">
        <v>4.33</v>
      </c>
      <c r="G529" s="2">
        <v>1326</v>
      </c>
      <c r="H529" s="2">
        <v>6114.63</v>
      </c>
      <c r="I529" s="2">
        <v>2.95</v>
      </c>
      <c r="J529" s="2">
        <v>66.7</v>
      </c>
      <c r="K529" s="2">
        <f ca="1">IFERROR(__xludf.DUMMYFUNCTION("IF($A529="""","""", IFERROR(
  INDEX(
    FILTER(IMEX_VN!$B$2:$B$130, MONTH(IMEX_VN!$A$2:$A$130)=MONTH($A529), YEAR(IMEX_VN!$A$2:$A$130)=YEAR($A529)),
    1
  ),
""""))"),-1.6)</f>
        <v>-1.6</v>
      </c>
      <c r="L529" s="6">
        <v>107</v>
      </c>
      <c r="M529" s="7">
        <v>79.5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8">
        <v>45704</v>
      </c>
      <c r="B530" s="9">
        <v>25510</v>
      </c>
      <c r="C530" s="2">
        <f ca="1">IFERROR(__xludf.DUMMYFUNCTION("IF($A530="""","""", IFERROR(
  INDEX(
    FILTER(CPI_VN!$C$2:$C$82, MONTH(CPI_VN!$A$2:$A$82)=MONTH($A530), YEAR(CPI_VN!$A$2:$A$82)=YEAR($A530)),
    1
  ),
""""))"),2.91)</f>
        <v>2.91</v>
      </c>
      <c r="D530" s="2">
        <f ca="1">IFERROR(__xludf.DUMMYFUNCTION("IF($A530="""","""", IFERROR(
  INDEX(
    FILTER(CPI_US!$D$2:$D$130, MONTH(CPI_US!$A$2:$A$130)=MONTH($A530), YEAR(CPI_US!$A$2:$A$130)=YEAR($A530)),
    1
  ),
""""))"),3)</f>
        <v>3</v>
      </c>
      <c r="E530" s="2">
        <v>3.1789999999999998</v>
      </c>
      <c r="F530" s="2">
        <v>4.33</v>
      </c>
      <c r="G530" s="2">
        <v>1326</v>
      </c>
      <c r="H530" s="2">
        <v>6013.13</v>
      </c>
      <c r="I530" s="2">
        <v>2.95</v>
      </c>
      <c r="J530" s="2">
        <v>66.7</v>
      </c>
      <c r="K530" s="2">
        <f ca="1">IFERROR(__xludf.DUMMYFUNCTION("IF($A530="""","""", IFERROR(
  INDEX(
    FILTER(IMEX_VN!$B$2:$B$130, MONTH(IMEX_VN!$A$2:$A$130)=MONTH($A530), YEAR(IMEX_VN!$A$2:$A$130)=YEAR($A530)),
    1
  ),
""""))"),-1.6)</f>
        <v>-1.6</v>
      </c>
      <c r="L530" s="6">
        <v>107</v>
      </c>
      <c r="M530" s="7">
        <v>79.5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8">
        <v>45711</v>
      </c>
      <c r="B531" s="9">
        <v>25530</v>
      </c>
      <c r="C531" s="2">
        <f ca="1">IFERROR(__xludf.DUMMYFUNCTION("IF($A531="""","""", IFERROR(
  INDEX(
    FILTER(CPI_VN!$C$2:$C$82, MONTH(CPI_VN!$A$2:$A$82)=MONTH($A531), YEAR(CPI_VN!$A$2:$A$82)=YEAR($A531)),
    1
  ),
""""))"),2.91)</f>
        <v>2.91</v>
      </c>
      <c r="D531" s="2">
        <f ca="1">IFERROR(__xludf.DUMMYFUNCTION("IF($A531="""","""", IFERROR(
  INDEX(
    FILTER(CPI_US!$D$2:$D$130, MONTH(CPI_US!$A$2:$A$130)=MONTH($A531), YEAR(CPI_US!$A$2:$A$130)=YEAR($A531)),
    1
  ),
""""))"),3)</f>
        <v>3</v>
      </c>
      <c r="E531" s="2">
        <v>3.0670000000000002</v>
      </c>
      <c r="F531" s="2">
        <v>4.33</v>
      </c>
      <c r="G531" s="2">
        <v>1321</v>
      </c>
      <c r="H531" s="2">
        <v>5954.5</v>
      </c>
      <c r="I531" s="2">
        <v>2.95</v>
      </c>
      <c r="J531" s="2">
        <v>66.7</v>
      </c>
      <c r="K531" s="2">
        <f ca="1">IFERROR(__xludf.DUMMYFUNCTION("IF($A531="""","""", IFERROR(
  INDEX(
    FILTER(IMEX_VN!$B$2:$B$130, MONTH(IMEX_VN!$A$2:$A$130)=MONTH($A531), YEAR(IMEX_VN!$A$2:$A$130)=YEAR($A531)),
    1
  ),
""""))"),-1.6)</f>
        <v>-1.6</v>
      </c>
      <c r="L531" s="6">
        <v>108</v>
      </c>
      <c r="M531" s="7">
        <v>79.5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8">
        <v>45718</v>
      </c>
      <c r="B532" s="9">
        <v>25480</v>
      </c>
      <c r="C532" s="2">
        <f ca="1">IFERROR(__xludf.DUMMYFUNCTION("IF($A532="""","""", IFERROR(
  INDEX(
    FILTER(CPI_VN!$C$2:$C$82, MONTH(CPI_VN!$A$2:$A$82)=MONTH($A532), YEAR(CPI_VN!$A$2:$A$82)=YEAR($A532)),
    1
  ),
""""))"),3.13)</f>
        <v>3.13</v>
      </c>
      <c r="D532" s="2">
        <f ca="1">IFERROR(__xludf.DUMMYFUNCTION("IF($A532="""","""", IFERROR(
  INDEX(
    FILTER(CPI_US!$D$2:$D$130, MONTH(CPI_US!$A$2:$A$130)=MONTH($A532), YEAR(CPI_US!$A$2:$A$130)=YEAR($A532)),
    1
  ),
""""))"),2.8)</f>
        <v>2.8</v>
      </c>
      <c r="E532" s="2">
        <v>3.0710000000000002</v>
      </c>
      <c r="F532" s="2">
        <v>4.33</v>
      </c>
      <c r="G532" s="2">
        <v>1317</v>
      </c>
      <c r="H532" s="2">
        <v>5770.2</v>
      </c>
      <c r="I532" s="2">
        <v>4.96</v>
      </c>
      <c r="J532" s="2">
        <v>66.7</v>
      </c>
      <c r="K532" s="2">
        <f ca="1">IFERROR(__xludf.DUMMYFUNCTION("IF($A532="""","""", IFERROR(
  INDEX(
    FILTER(IMEX_VN!$B$2:$B$130, MONTH(IMEX_VN!$A$2:$A$130)=MONTH($A532), YEAR(IMEX_VN!$A$2:$A$130)=YEAR($A532)),
    1
  ),
""""))"),1.6)</f>
        <v>1.6</v>
      </c>
      <c r="L532" s="6">
        <v>104</v>
      </c>
      <c r="M532" s="7">
        <v>80.7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8">
        <v>45725</v>
      </c>
      <c r="B533" s="9">
        <v>25500</v>
      </c>
      <c r="C533" s="2">
        <f ca="1">IFERROR(__xludf.DUMMYFUNCTION("IF($A533="""","""", IFERROR(
  INDEX(
    FILTER(CPI_VN!$C$2:$C$82, MONTH(CPI_VN!$A$2:$A$82)=MONTH($A533), YEAR(CPI_VN!$A$2:$A$82)=YEAR($A533)),
    1
  ),
""""))"),3.13)</f>
        <v>3.13</v>
      </c>
      <c r="D533" s="2">
        <f ca="1">IFERROR(__xludf.DUMMYFUNCTION("IF($A533="""","""", IFERROR(
  INDEX(
    FILTER(CPI_US!$D$2:$D$130, MONTH(CPI_US!$A$2:$A$130)=MONTH($A533), YEAR(CPI_US!$A$2:$A$130)=YEAR($A533)),
    1
  ),
""""))"),2.8)</f>
        <v>2.8</v>
      </c>
      <c r="E533" s="2">
        <v>3.0529999999999999</v>
      </c>
      <c r="F533" s="2">
        <v>4.33</v>
      </c>
      <c r="G533" s="2">
        <v>1210</v>
      </c>
      <c r="H533" s="2">
        <v>5638.94</v>
      </c>
      <c r="I533" s="2">
        <v>4.96</v>
      </c>
      <c r="J533" s="2">
        <v>66.7</v>
      </c>
      <c r="K533" s="2">
        <f ca="1">IFERROR(__xludf.DUMMYFUNCTION("IF($A533="""","""", IFERROR(
  INDEX(
    FILTER(IMEX_VN!$B$2:$B$130, MONTH(IMEX_VN!$A$2:$A$130)=MONTH($A533), YEAR(IMEX_VN!$A$2:$A$130)=YEAR($A533)),
    1
  ),
""""))"),1.6)</f>
        <v>1.6</v>
      </c>
      <c r="L533" s="6">
        <v>104</v>
      </c>
      <c r="M533" s="7">
        <v>80.7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8">
        <v>45732</v>
      </c>
      <c r="B534" s="9">
        <v>25585</v>
      </c>
      <c r="C534" s="2">
        <f ca="1">IFERROR(__xludf.DUMMYFUNCTION("IF($A534="""","""", IFERROR(
  INDEX(
    FILTER(CPI_VN!$C$2:$C$82, MONTH(CPI_VN!$A$2:$A$82)=MONTH($A534), YEAR(CPI_VN!$A$2:$A$82)=YEAR($A534)),
    1
  ),
""""))"),3.13)</f>
        <v>3.13</v>
      </c>
      <c r="D534" s="2">
        <f ca="1">IFERROR(__xludf.DUMMYFUNCTION("IF($A534="""","""", IFERROR(
  INDEX(
    FILTER(CPI_US!$D$2:$D$130, MONTH(CPI_US!$A$2:$A$130)=MONTH($A534), YEAR(CPI_US!$A$2:$A$130)=YEAR($A534)),
    1
  ),
""""))"),2.8)</f>
        <v>2.8</v>
      </c>
      <c r="E534" s="2">
        <v>3.0659999999999998</v>
      </c>
      <c r="F534" s="2">
        <v>4.33</v>
      </c>
      <c r="G534" s="2">
        <v>1222</v>
      </c>
      <c r="H534" s="2">
        <v>5667.56</v>
      </c>
      <c r="I534" s="2">
        <v>4.96</v>
      </c>
      <c r="J534" s="2">
        <v>66.7</v>
      </c>
      <c r="K534" s="2">
        <f ca="1">IFERROR(__xludf.DUMMYFUNCTION("IF($A534="""","""", IFERROR(
  INDEX(
    FILTER(IMEX_VN!$B$2:$B$130, MONTH(IMEX_VN!$A$2:$A$130)=MONTH($A534), YEAR(IMEX_VN!$A$2:$A$130)=YEAR($A534)),
    1
  ),
""""))"),1.6)</f>
        <v>1.6</v>
      </c>
      <c r="L534" s="6">
        <v>104</v>
      </c>
      <c r="M534" s="7">
        <v>80.7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8">
        <v>45739</v>
      </c>
      <c r="B535" s="9">
        <v>25550</v>
      </c>
      <c r="C535" s="2">
        <f ca="1">IFERROR(__xludf.DUMMYFUNCTION("IF($A535="""","""", IFERROR(
  INDEX(
    FILTER(CPI_VN!$C$2:$C$82, MONTH(CPI_VN!$A$2:$A$82)=MONTH($A535), YEAR(CPI_VN!$A$2:$A$82)=YEAR($A535)),
    1
  ),
""""))"),3.13)</f>
        <v>3.13</v>
      </c>
      <c r="D535" s="2">
        <f ca="1">IFERROR(__xludf.DUMMYFUNCTION("IF($A535="""","""", IFERROR(
  INDEX(
    FILTER(CPI_US!$D$2:$D$130, MONTH(CPI_US!$A$2:$A$130)=MONTH($A535), YEAR(CPI_US!$A$2:$A$130)=YEAR($A535)),
    1
  ),
""""))"),2.8)</f>
        <v>2.8</v>
      </c>
      <c r="E535" s="2">
        <v>3.12</v>
      </c>
      <c r="F535" s="2">
        <v>4.33</v>
      </c>
      <c r="G535" s="2">
        <v>1219</v>
      </c>
      <c r="H535" s="2">
        <v>5580.94</v>
      </c>
      <c r="I535" s="2">
        <v>4.96</v>
      </c>
      <c r="J535" s="2">
        <v>66.7</v>
      </c>
      <c r="K535" s="2">
        <f ca="1">IFERROR(__xludf.DUMMYFUNCTION("IF($A535="""","""", IFERROR(
  INDEX(
    FILTER(IMEX_VN!$B$2:$B$130, MONTH(IMEX_VN!$A$2:$A$130)=MONTH($A535), YEAR(IMEX_VN!$A$2:$A$130)=YEAR($A535)),
    1
  ),
""""))"),1.6)</f>
        <v>1.6</v>
      </c>
      <c r="L535" s="6">
        <v>104</v>
      </c>
      <c r="M535" s="7">
        <v>80.7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8">
        <v>45746</v>
      </c>
      <c r="B536" s="9">
        <v>25780</v>
      </c>
      <c r="C536" s="2">
        <f ca="1">IFERROR(__xludf.DUMMYFUNCTION("IF($A536="""","""", IFERROR(
  INDEX(
    FILTER(CPI_VN!$C$2:$C$82, MONTH(CPI_VN!$A$2:$A$82)=MONTH($A536), YEAR(CPI_VN!$A$2:$A$82)=YEAR($A536)),
    1
  ),
""""))"),3.13)</f>
        <v>3.13</v>
      </c>
      <c r="D536" s="2">
        <f ca="1">IFERROR(__xludf.DUMMYFUNCTION("IF($A536="""","""", IFERROR(
  INDEX(
    FILTER(CPI_US!$D$2:$D$130, MONTH(CPI_US!$A$2:$A$130)=MONTH($A536), YEAR(CPI_US!$A$2:$A$130)=YEAR($A536)),
    1
  ),
""""))"),2.8)</f>
        <v>2.8</v>
      </c>
      <c r="E536" s="2">
        <v>3.145</v>
      </c>
      <c r="F536" s="2">
        <v>4.33</v>
      </c>
      <c r="G536" s="2">
        <v>1229</v>
      </c>
      <c r="H536" s="2">
        <v>5074.08</v>
      </c>
      <c r="I536" s="2">
        <v>4.96</v>
      </c>
      <c r="J536" s="2">
        <v>66.7</v>
      </c>
      <c r="K536" s="2">
        <f ca="1">IFERROR(__xludf.DUMMYFUNCTION("IF($A536="""","""", IFERROR(
  INDEX(
    FILTER(IMEX_VN!$B$2:$B$130, MONTH(IMEX_VN!$A$2:$A$130)=MONTH($A536), YEAR(IMEX_VN!$A$2:$A$130)=YEAR($A536)),
    1
  ),
""""))"),1.6)</f>
        <v>1.6</v>
      </c>
      <c r="L536" s="6">
        <v>103</v>
      </c>
      <c r="M536" s="7">
        <v>80.7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3.2.1-3.2.4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nguyet ng</cp:lastModifiedBy>
  <dcterms:modified xsi:type="dcterms:W3CDTF">2025-11-07T02:30:13Z</dcterms:modified>
</cp:coreProperties>
</file>